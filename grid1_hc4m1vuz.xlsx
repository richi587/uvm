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hieberle/Downloads/"/>
    </mc:Choice>
  </mc:AlternateContent>
  <xr:revisionPtr revIDLastSave="0" documentId="13_ncr:1_{5177C0D1-8250-4543-A942-A1998A57650B}" xr6:coauthVersionLast="47" xr6:coauthVersionMax="47" xr10:uidLastSave="{00000000-0000-0000-0000-000000000000}"/>
  <bookViews>
    <workbookView xWindow="0" yWindow="500" windowWidth="28800" windowHeight="16280" activeTab="1" xr2:uid="{00000000-000D-0000-FFFF-FFFF00000000}"/>
  </bookViews>
  <sheets>
    <sheet name="Worksheet" sheetId="2" r:id="rId1"/>
    <sheet name="call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3" l="1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32" i="3"/>
</calcChain>
</file>

<file path=xl/sharedStrings.xml><?xml version="1.0" encoding="utf-8"?>
<sst xmlns="http://schemas.openxmlformats.org/spreadsheetml/2006/main" count="263" uniqueCount="161">
  <si>
    <t>Calls</t>
  </si>
  <si>
    <t>Ticker</t>
  </si>
  <si>
    <t>Strike</t>
  </si>
  <si>
    <t>Bid</t>
  </si>
  <si>
    <t>Ask</t>
  </si>
  <si>
    <t>Last</t>
  </si>
  <si>
    <t>IVM</t>
  </si>
  <si>
    <t>Volm</t>
  </si>
  <si>
    <t>17-Apr-26 (1d); CSize 100; R 3.95; IFwd 265.83</t>
  </si>
  <si>
    <t>AAPL 4/17/26 C262.5</t>
  </si>
  <si>
    <t>AAPL 4/17/26 P262.5</t>
  </si>
  <si>
    <t>AAPL 4/17/26 C265</t>
  </si>
  <si>
    <t>AAPL 4/17/26 P265</t>
  </si>
  <si>
    <t>AAPL 4/17/26 C267.5</t>
  </si>
  <si>
    <t>AAPL 4/17/26 P267.5</t>
  </si>
  <si>
    <t>AAPL 4/17/26 C270</t>
  </si>
  <si>
    <t>AAPL 4/17/26 P270</t>
  </si>
  <si>
    <t>AAPL 4/17/26 C272.5</t>
  </si>
  <si>
    <t>AAPL 4/17/26 P272.5</t>
  </si>
  <si>
    <t>ERROR(6)</t>
  </si>
  <si>
    <t>AAPL 5/15/26 C255</t>
  </si>
  <si>
    <t>AAPL 5/15/26 P255</t>
  </si>
  <si>
    <t>AAPL 5/15/26 C260</t>
  </si>
  <si>
    <t>AAPL 5/15/26 P260</t>
  </si>
  <si>
    <t>AAPL 5/15/26 C265</t>
  </si>
  <si>
    <t>AAPL 5/15/26 P265</t>
  </si>
  <si>
    <t>AAPL 5/15/26 C270</t>
  </si>
  <si>
    <t>AAPL 5/15/26 P270</t>
  </si>
  <si>
    <t>AAPL 5/15/26 C275</t>
  </si>
  <si>
    <t>AAPL 5/15/26 P275</t>
  </si>
  <si>
    <t>AAPL 6/18/26 C255</t>
  </si>
  <si>
    <t>AAPL 6/18/26 P255</t>
  </si>
  <si>
    <t>AAPL 6/18/26 C260</t>
  </si>
  <si>
    <t>AAPL 6/18/26 P260</t>
  </si>
  <si>
    <t>AAPL 6/18/26 C265</t>
  </si>
  <si>
    <t>AAPL 6/18/26 P265</t>
  </si>
  <si>
    <t>AAPL 6/18/26 C270</t>
  </si>
  <si>
    <t>AAPL 6/18/26 P270</t>
  </si>
  <si>
    <t>AAPL 6/18/26 C275</t>
  </si>
  <si>
    <t>AAPL 6/18/26 P275</t>
  </si>
  <si>
    <t>AAPL 7/17/26 C255</t>
  </si>
  <si>
    <t>AAPL 7/17/26 P255</t>
  </si>
  <si>
    <t>AAPL 7/17/26 C260</t>
  </si>
  <si>
    <t>AAPL 7/17/26 P260</t>
  </si>
  <si>
    <t>AAPL 7/17/26 C265</t>
  </si>
  <si>
    <t>AAPL 7/17/26 P265</t>
  </si>
  <si>
    <t>AAPL 7/17/26 C270</t>
  </si>
  <si>
    <t>AAPL 7/17/26 P270</t>
  </si>
  <si>
    <t>AAPL 7/17/26 C275</t>
  </si>
  <si>
    <t>AAPL 7/17/26 P275</t>
  </si>
  <si>
    <t>AAPL 8/21/26 C255</t>
  </si>
  <si>
    <t>AAPL 8/21/26 P255</t>
  </si>
  <si>
    <t>AAPL 8/21/26 C260</t>
  </si>
  <si>
    <t>AAPL 8/21/26 P260</t>
  </si>
  <si>
    <t>AAPL 8/21/26 C265</t>
  </si>
  <si>
    <t>AAPL 8/21/26 P265</t>
  </si>
  <si>
    <t>AAPL 8/21/26 C270</t>
  </si>
  <si>
    <t>AAPL 8/21/26 P270</t>
  </si>
  <si>
    <t>AAPL 8/21/26 C275</t>
  </si>
  <si>
    <t>AAPL 8/21/26 P275</t>
  </si>
  <si>
    <t>AAPL 9/18/26 C255</t>
  </si>
  <si>
    <t>AAPL 9/18/26 P255</t>
  </si>
  <si>
    <t>AAPL 9/18/26 C260</t>
  </si>
  <si>
    <t>AAPL 9/18/26 P260</t>
  </si>
  <si>
    <t>AAPL 9/18/26 C265</t>
  </si>
  <si>
    <t>AAPL 9/18/26 P265</t>
  </si>
  <si>
    <t>AAPL 9/18/26 C270</t>
  </si>
  <si>
    <t>AAPL 9/18/26 P270</t>
  </si>
  <si>
    <t>AAPL 9/18/26 C275</t>
  </si>
  <si>
    <t>AAPL 9/18/26 P275</t>
  </si>
  <si>
    <t>AAPL 10/16/26 C255</t>
  </si>
  <si>
    <t>AAPL 10/16/26 P255</t>
  </si>
  <si>
    <t>AAPL 10/16/26 C260</t>
  </si>
  <si>
    <t>AAPL 10/16/26 P260</t>
  </si>
  <si>
    <t>AAPL 10/16/26 C265</t>
  </si>
  <si>
    <t>AAPL 10/16/26 P265</t>
  </si>
  <si>
    <t>AAPL 10/16/26 C270</t>
  </si>
  <si>
    <t>AAPL 10/16/26 P270</t>
  </si>
  <si>
    <t>AAPL 10/16/26 C275</t>
  </si>
  <si>
    <t>AAPL 10/16/26 P275</t>
  </si>
  <si>
    <t>AAPL 11/20/26 C255</t>
  </si>
  <si>
    <t>AAPL 11/20/26 P255</t>
  </si>
  <si>
    <t>AAPL 11/20/26 C260</t>
  </si>
  <si>
    <t>AAPL 11/20/26 P260</t>
  </si>
  <si>
    <t>AAPL 11/20/26 C265</t>
  </si>
  <si>
    <t>AAPL 11/20/26 P265</t>
  </si>
  <si>
    <t>AAPL 11/20/26 C270</t>
  </si>
  <si>
    <t>AAPL 11/20/26 P270</t>
  </si>
  <si>
    <t>AAPL 11/20/26 C275</t>
  </si>
  <si>
    <t>AAPL 11/20/26 P275</t>
  </si>
  <si>
    <t>AAPL 12/18/26 C255</t>
  </si>
  <si>
    <t>AAPL 12/18/26 P255</t>
  </si>
  <si>
    <t>AAPL 12/18/26 C260</t>
  </si>
  <si>
    <t>AAPL 12/18/26 P260</t>
  </si>
  <si>
    <t>AAPL 12/18/26 C265</t>
  </si>
  <si>
    <t>AAPL 12/18/26 P265</t>
  </si>
  <si>
    <t>AAPL 12/18/26 C270</t>
  </si>
  <si>
    <t>AAPL 12/18/26 P270</t>
  </si>
  <si>
    <t>AAPL 12/18/26 C275</t>
  </si>
  <si>
    <t>AAPL 12/18/26 P275</t>
  </si>
  <si>
    <t>AAPL 1/15/27 C250</t>
  </si>
  <si>
    <t>AAPL 1/15/27 P250</t>
  </si>
  <si>
    <t>AAPL 1/15/27 C260</t>
  </si>
  <si>
    <t>AAPL 1/15/27 P260</t>
  </si>
  <si>
    <t>AAPL 1/15/27 C270</t>
  </si>
  <si>
    <t>AAPL 1/15/27 P270</t>
  </si>
  <si>
    <t>AAPL 1/15/27 C280</t>
  </si>
  <si>
    <t>AAPL 1/15/27 P280</t>
  </si>
  <si>
    <t>AAPL 1/15/27 C290</t>
  </si>
  <si>
    <t>AAPL 1/15/27 P290</t>
  </si>
  <si>
    <t>AAPL 3/19/27 C250</t>
  </si>
  <si>
    <t>AAPL 3/19/27 P250</t>
  </si>
  <si>
    <t>AAPL 3/19/27 C260</t>
  </si>
  <si>
    <t>AAPL 3/19/27 P260</t>
  </si>
  <si>
    <t>AAPL 3/19/27 C270</t>
  </si>
  <si>
    <t>AAPL 3/19/27 P270</t>
  </si>
  <si>
    <t>AAPL 3/19/27 C280</t>
  </si>
  <si>
    <t>AAPL 3/19/27 P280</t>
  </si>
  <si>
    <t>AAPL 3/19/27 C290</t>
  </si>
  <si>
    <t>AAPL 3/19/27 P290</t>
  </si>
  <si>
    <t>AAPL 6/17/27 C250</t>
  </si>
  <si>
    <t>AAPL 6/17/27 P250</t>
  </si>
  <si>
    <t>AAPL 6/17/27 C260</t>
  </si>
  <si>
    <t>AAPL 6/17/27 P260</t>
  </si>
  <si>
    <t>AAPL 6/17/27 C270</t>
  </si>
  <si>
    <t>AAPL 6/17/27 P270</t>
  </si>
  <si>
    <t>AAPL 6/17/27 C280</t>
  </si>
  <si>
    <t>AAPL 6/17/27 P280</t>
  </si>
  <si>
    <t>AAPL 6/17/27 C290</t>
  </si>
  <si>
    <t>AAPL 6/17/27 P290</t>
  </si>
  <si>
    <t>AAPL 12/17/27 C255</t>
  </si>
  <si>
    <t>AAPL 12/17/27 P255</t>
  </si>
  <si>
    <t>AAPL 12/17/27 C260</t>
  </si>
  <si>
    <t>AAPL 12/17/27 P260</t>
  </si>
  <si>
    <t>AAPL 12/17/27 C265</t>
  </si>
  <si>
    <t>AAPL 12/17/27 P265</t>
  </si>
  <si>
    <t>AAPL 12/17/27 C270</t>
  </si>
  <si>
    <t>AAPL 12/17/27 P270</t>
  </si>
  <si>
    <t>AAPL 12/17/27 C275</t>
  </si>
  <si>
    <t>AAPL 12/17/27 P275</t>
  </si>
  <si>
    <t>AAPL 1/21/28 C250</t>
  </si>
  <si>
    <t>AAPL 1/21/28 P250</t>
  </si>
  <si>
    <t>AAPL 1/21/28 C260</t>
  </si>
  <si>
    <t>AAPL 1/21/28 P260</t>
  </si>
  <si>
    <t>AAPL 1/21/28 C270</t>
  </si>
  <si>
    <t>AAPL 1/21/28 P270</t>
  </si>
  <si>
    <t>AAPL 1/21/28 C280</t>
  </si>
  <si>
    <t>AAPL 1/21/28 P280</t>
  </si>
  <si>
    <t>AAPL 1/21/28 C290</t>
  </si>
  <si>
    <t>AAPL 1/21/28 P290</t>
  </si>
  <si>
    <t>AAPL 3/17/28 C250</t>
  </si>
  <si>
    <t>AAPL 3/17/28 P250</t>
  </si>
  <si>
    <t>AAPL 3/17/28 C260</t>
  </si>
  <si>
    <t>AAPL 3/17/28 P260</t>
  </si>
  <si>
    <t>AAPL 3/17/28 C270</t>
  </si>
  <si>
    <t>AAPL 3/17/28 P270</t>
  </si>
  <si>
    <t>AAPL 3/17/28 C280</t>
  </si>
  <si>
    <t>AAPL 3/17/28 P280</t>
  </si>
  <si>
    <t>AAPL 3/17/28 C290</t>
  </si>
  <si>
    <t>AAPL 3/17/28 P290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</si>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</sst>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/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29" builtinId="26" customBuiltin="1"/>
    <cellStyle name="Cálculo" xfId="26" builtinId="22" customBuiltin="1"/>
    <cellStyle name="Celda de comprobación" xfId="27" builtinId="23" customBuiltin="1"/>
    <cellStyle name="Celda vinculada" xfId="35" builtinId="24" customBuiltin="1"/>
    <cellStyle name="Encabezado 1" xfId="30" builtinId="16" customBuiltin="1"/>
    <cellStyle name="Encabezado 4" xfId="33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4" builtinId="20" customBuiltin="1"/>
    <cellStyle name="Incorrecto" xfId="25" builtinId="27" customBuiltin="1"/>
    <cellStyle name="Neutral" xfId="36" builtinId="28" customBuiltin="1"/>
    <cellStyle name="Normal" xfId="0" builtinId="0"/>
    <cellStyle name="Notas" xfId="37" builtinId="10" customBuiltin="1"/>
    <cellStyle name="Salida" xfId="38" builtinId="21" customBuiltin="1"/>
    <cellStyle name="Texto de advertencia" xfId="41" builtinId="11" customBuiltin="1"/>
    <cellStyle name="Texto explicativo" xfId="28" builtinId="53" customBuiltin="1"/>
    <cellStyle name="Título" xfId="39" builtinId="15" customBuiltin="1"/>
    <cellStyle name="Título 2" xfId="31" builtinId="17" customBuiltin="1"/>
    <cellStyle name="Título 3" xfId="32" builtinId="18" customBuiltin="1"/>
    <cellStyle name="Total" xfId="40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"/>
  <sheetViews>
    <sheetView topLeftCell="A32" workbookViewId="0">
      <selection activeCell="D40" sqref="D40"/>
    </sheetView>
  </sheetViews>
  <sheetFormatPr baseColWidth="10" defaultRowHeight="15" x14ac:dyDescent="0.2"/>
  <cols>
    <col min="1" max="2" width="9.1640625" bestFit="1" customWidth="1"/>
    <col min="3" max="6" width="17" bestFit="1" customWidth="1"/>
    <col min="7" max="9" width="9.1640625" bestFit="1" customWidth="1"/>
    <col min="10" max="13" width="17" bestFit="1" customWidth="1"/>
    <col min="14" max="14" width="9.1640625" bestFit="1" customWidth="1"/>
  </cols>
  <sheetData>
    <row r="1" spans="1:14" x14ac:dyDescent="0.2">
      <c r="A1" s="2" t="s">
        <v>0</v>
      </c>
      <c r="B1" s="2"/>
      <c r="C1" s="2"/>
      <c r="D1" s="2"/>
      <c r="E1" s="2"/>
      <c r="F1" s="2"/>
      <c r="G1" s="2"/>
    </row>
    <row r="2" spans="1:14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</row>
    <row r="3" spans="1:14" x14ac:dyDescent="0.2">
      <c r="A3" s="2" t="s">
        <v>8</v>
      </c>
      <c r="B3" s="2"/>
      <c r="C3" s="2"/>
      <c r="D3" s="2"/>
      <c r="E3" s="2"/>
      <c r="F3" s="2"/>
      <c r="G3" s="2"/>
    </row>
    <row r="4" spans="1:14" x14ac:dyDescent="0.2">
      <c r="A4" t="s">
        <v>9</v>
      </c>
      <c r="B4">
        <v>262.5</v>
      </c>
      <c r="C4">
        <v>4.75</v>
      </c>
      <c r="D4">
        <v>4.9499998092651403</v>
      </c>
      <c r="E4">
        <v>4.9000000953674299</v>
      </c>
      <c r="F4">
        <v>24.949363708496101</v>
      </c>
      <c r="G4">
        <v>40775</v>
      </c>
      <c r="H4" t="s">
        <v>10</v>
      </c>
      <c r="I4">
        <v>262.5</v>
      </c>
      <c r="J4">
        <v>0.91000002622604403</v>
      </c>
      <c r="K4">
        <v>0.95999997854232799</v>
      </c>
      <c r="L4">
        <v>0.93999999761581399</v>
      </c>
      <c r="M4">
        <v>25.854286193847699</v>
      </c>
      <c r="N4">
        <v>15832</v>
      </c>
    </row>
    <row r="5" spans="1:14" x14ac:dyDescent="0.2">
      <c r="A5" t="s">
        <v>11</v>
      </c>
      <c r="B5">
        <v>265</v>
      </c>
      <c r="C5">
        <v>3.0999999046325701</v>
      </c>
      <c r="D5">
        <v>3.2000000476837198</v>
      </c>
      <c r="E5">
        <v>3.1500000953674299</v>
      </c>
      <c r="F5">
        <v>25.2675971984863</v>
      </c>
      <c r="G5">
        <v>61919</v>
      </c>
      <c r="H5" t="s">
        <v>12</v>
      </c>
      <c r="I5">
        <v>265</v>
      </c>
      <c r="J5">
        <v>1.66999995708466</v>
      </c>
      <c r="K5">
        <v>1.75</v>
      </c>
      <c r="L5">
        <v>1.6900000572204601</v>
      </c>
      <c r="M5">
        <v>25.254419326782202</v>
      </c>
      <c r="N5">
        <v>14625</v>
      </c>
    </row>
    <row r="6" spans="1:14" x14ac:dyDescent="0.2">
      <c r="A6" t="s">
        <v>13</v>
      </c>
      <c r="B6">
        <v>267.5</v>
      </c>
      <c r="C6">
        <v>1.8200000524520901</v>
      </c>
      <c r="D6">
        <v>1.8999999761581401</v>
      </c>
      <c r="E6">
        <v>1.8400000333786</v>
      </c>
      <c r="F6">
        <v>24.655199050903299</v>
      </c>
      <c r="G6">
        <v>51121</v>
      </c>
      <c r="H6" t="s">
        <v>14</v>
      </c>
      <c r="I6">
        <v>267.5</v>
      </c>
      <c r="J6">
        <v>2.8499999046325701</v>
      </c>
      <c r="K6">
        <v>2.9500000476837198</v>
      </c>
      <c r="L6">
        <v>2.9500000476837198</v>
      </c>
      <c r="M6">
        <v>24.486345291137699</v>
      </c>
      <c r="N6">
        <v>894</v>
      </c>
    </row>
    <row r="7" spans="1:14" x14ac:dyDescent="0.2">
      <c r="A7" t="s">
        <v>15</v>
      </c>
      <c r="B7">
        <v>270</v>
      </c>
      <c r="C7">
        <v>0.97000002861022905</v>
      </c>
      <c r="D7">
        <v>1</v>
      </c>
      <c r="E7">
        <v>0.99000000953674305</v>
      </c>
      <c r="F7">
        <v>24.547458648681602</v>
      </c>
      <c r="G7">
        <v>69847</v>
      </c>
      <c r="H7" t="s">
        <v>16</v>
      </c>
      <c r="I7">
        <v>270</v>
      </c>
      <c r="J7">
        <v>4.3499999046325701</v>
      </c>
      <c r="K7">
        <v>4.6999998092651403</v>
      </c>
      <c r="L7">
        <v>4.5</v>
      </c>
      <c r="M7">
        <v>24.854211807251001</v>
      </c>
      <c r="N7">
        <v>678</v>
      </c>
    </row>
    <row r="8" spans="1:14" x14ac:dyDescent="0.2">
      <c r="A8" t="s">
        <v>17</v>
      </c>
      <c r="B8">
        <v>272.5</v>
      </c>
      <c r="C8">
        <v>0.46999999880790699</v>
      </c>
      <c r="D8">
        <v>0.490000009536743</v>
      </c>
      <c r="E8">
        <v>0.479999989271164</v>
      </c>
      <c r="F8">
        <v>24.758579254150401</v>
      </c>
      <c r="G8">
        <v>33822</v>
      </c>
      <c r="H8" t="s">
        <v>18</v>
      </c>
      <c r="I8">
        <v>272.5</v>
      </c>
      <c r="J8">
        <v>6.0999999046325701</v>
      </c>
      <c r="K8">
        <v>7.6500000953674299</v>
      </c>
      <c r="L8">
        <v>7.0999999046325701</v>
      </c>
      <c r="M8">
        <v>29.932518005371101</v>
      </c>
      <c r="N8">
        <v>29</v>
      </c>
    </row>
    <row r="9" spans="1:14" x14ac:dyDescent="0.2">
      <c r="A9" s="2" t="s">
        <v>19</v>
      </c>
      <c r="B9" s="2"/>
      <c r="C9" s="2"/>
      <c r="D9" s="2"/>
      <c r="E9" s="2"/>
      <c r="F9" s="2"/>
      <c r="G9" s="2"/>
    </row>
    <row r="10" spans="1:14" x14ac:dyDescent="0.2">
      <c r="A10" t="s">
        <v>20</v>
      </c>
      <c r="B10">
        <v>255</v>
      </c>
      <c r="C10">
        <v>16.299999237060501</v>
      </c>
      <c r="D10">
        <v>16.649999618530298</v>
      </c>
      <c r="E10">
        <v>16.5</v>
      </c>
      <c r="F10">
        <v>29.879756927490199</v>
      </c>
      <c r="G10">
        <v>879</v>
      </c>
      <c r="H10" t="s">
        <v>21</v>
      </c>
      <c r="I10">
        <v>255</v>
      </c>
      <c r="J10">
        <v>4.4499998092651403</v>
      </c>
      <c r="K10">
        <v>4.5999999046325701</v>
      </c>
      <c r="L10">
        <v>4.4499998092651403</v>
      </c>
      <c r="M10">
        <v>30.464616775512699</v>
      </c>
      <c r="N10">
        <v>2275</v>
      </c>
    </row>
    <row r="11" spans="1:14" x14ac:dyDescent="0.2">
      <c r="A11" t="s">
        <v>22</v>
      </c>
      <c r="B11">
        <v>260</v>
      </c>
      <c r="C11">
        <v>12.8999996185303</v>
      </c>
      <c r="D11">
        <v>13.1000003814697</v>
      </c>
      <c r="E11">
        <v>13.0200004577637</v>
      </c>
      <c r="F11">
        <v>29.023738861083999</v>
      </c>
      <c r="G11">
        <v>24323</v>
      </c>
      <c r="H11" t="s">
        <v>23</v>
      </c>
      <c r="I11">
        <v>260</v>
      </c>
      <c r="J11">
        <v>6.0500001907348597</v>
      </c>
      <c r="K11">
        <v>6.1500000953674299</v>
      </c>
      <c r="L11">
        <v>6.0999999046325701</v>
      </c>
      <c r="M11">
        <v>29.718835830688501</v>
      </c>
      <c r="N11">
        <v>2191</v>
      </c>
    </row>
    <row r="12" spans="1:14" x14ac:dyDescent="0.2">
      <c r="A12" t="s">
        <v>24</v>
      </c>
      <c r="B12">
        <v>265</v>
      </c>
      <c r="C12">
        <v>9.9499998092651403</v>
      </c>
      <c r="D12">
        <v>10.050000190734901</v>
      </c>
      <c r="E12">
        <v>10.069999694824199</v>
      </c>
      <c r="F12">
        <v>28.4504203796387</v>
      </c>
      <c r="G12">
        <v>4710</v>
      </c>
      <c r="H12" t="s">
        <v>25</v>
      </c>
      <c r="I12">
        <v>265</v>
      </c>
      <c r="J12">
        <v>8</v>
      </c>
      <c r="K12">
        <v>8.1000003814697301</v>
      </c>
      <c r="L12">
        <v>8.0200004577636701</v>
      </c>
      <c r="M12">
        <v>28.8293571472168</v>
      </c>
      <c r="N12">
        <v>1044</v>
      </c>
    </row>
    <row r="13" spans="1:14" x14ac:dyDescent="0.2">
      <c r="A13" t="s">
        <v>26</v>
      </c>
      <c r="B13">
        <v>270</v>
      </c>
      <c r="C13">
        <v>7.4000000953674299</v>
      </c>
      <c r="D13">
        <v>7.5500001907348597</v>
      </c>
      <c r="E13">
        <v>7.5100002288818404</v>
      </c>
      <c r="F13">
        <v>28.0768947601318</v>
      </c>
      <c r="G13">
        <v>12298</v>
      </c>
      <c r="H13" t="s">
        <v>27</v>
      </c>
      <c r="I13">
        <v>270</v>
      </c>
      <c r="J13">
        <v>10.3500003814697</v>
      </c>
      <c r="K13">
        <v>10.6000003814697</v>
      </c>
      <c r="L13">
        <v>10.5</v>
      </c>
      <c r="M13">
        <v>28.272853851318398</v>
      </c>
      <c r="N13">
        <v>851</v>
      </c>
    </row>
    <row r="14" spans="1:14" x14ac:dyDescent="0.2">
      <c r="A14" t="s">
        <v>28</v>
      </c>
      <c r="B14">
        <v>275</v>
      </c>
      <c r="C14">
        <v>5.4000000953674299</v>
      </c>
      <c r="D14">
        <v>5.5</v>
      </c>
      <c r="E14">
        <v>5.5500001907348597</v>
      </c>
      <c r="F14">
        <v>27.785007476806602</v>
      </c>
      <c r="G14">
        <v>7878</v>
      </c>
      <c r="H14" t="s">
        <v>29</v>
      </c>
      <c r="I14">
        <v>275</v>
      </c>
      <c r="J14">
        <v>13.25</v>
      </c>
      <c r="K14">
        <v>13.550000190734901</v>
      </c>
      <c r="L14">
        <v>13.4700002670288</v>
      </c>
      <c r="M14">
        <v>27.8216342926025</v>
      </c>
      <c r="N14">
        <v>154</v>
      </c>
    </row>
    <row r="15" spans="1:14" x14ac:dyDescent="0.2">
      <c r="A15" s="2" t="s">
        <v>19</v>
      </c>
      <c r="B15" s="2"/>
      <c r="C15" s="2"/>
      <c r="D15" s="2"/>
      <c r="E15" s="2"/>
      <c r="F15" s="2"/>
      <c r="G15" s="2"/>
    </row>
    <row r="16" spans="1:14" x14ac:dyDescent="0.2">
      <c r="A16" t="s">
        <v>30</v>
      </c>
      <c r="B16">
        <v>255</v>
      </c>
      <c r="C16">
        <v>19.950000762939499</v>
      </c>
      <c r="D16">
        <v>20.350000381469702</v>
      </c>
      <c r="E16">
        <v>20.200000762939499</v>
      </c>
      <c r="F16">
        <v>28.875612258911101</v>
      </c>
      <c r="G16">
        <v>279</v>
      </c>
      <c r="H16" t="s">
        <v>31</v>
      </c>
      <c r="I16">
        <v>255</v>
      </c>
      <c r="J16">
        <v>7.1500000953674299</v>
      </c>
      <c r="K16">
        <v>7.3499999046325701</v>
      </c>
      <c r="L16">
        <v>7.3000001907348597</v>
      </c>
      <c r="M16">
        <v>28.829078674316399</v>
      </c>
      <c r="N16">
        <v>431</v>
      </c>
    </row>
    <row r="17" spans="1:14" x14ac:dyDescent="0.2">
      <c r="A17" t="s">
        <v>32</v>
      </c>
      <c r="B17">
        <v>260</v>
      </c>
      <c r="C17">
        <v>16.700000762939499</v>
      </c>
      <c r="D17">
        <v>17.049999237060501</v>
      </c>
      <c r="E17">
        <v>16.899999618530298</v>
      </c>
      <c r="F17">
        <v>28.347023010253899</v>
      </c>
      <c r="G17">
        <v>2089</v>
      </c>
      <c r="H17" t="s">
        <v>33</v>
      </c>
      <c r="I17">
        <v>260</v>
      </c>
      <c r="J17">
        <v>8.8500003814697301</v>
      </c>
      <c r="K17">
        <v>9.0500001907348597</v>
      </c>
      <c r="L17">
        <v>8.8999996185302699</v>
      </c>
      <c r="M17">
        <v>28.181703567504901</v>
      </c>
      <c r="N17">
        <v>627</v>
      </c>
    </row>
    <row r="18" spans="1:14" x14ac:dyDescent="0.2">
      <c r="A18" t="s">
        <v>34</v>
      </c>
      <c r="B18">
        <v>265</v>
      </c>
      <c r="C18">
        <v>13.699999809265099</v>
      </c>
      <c r="D18">
        <v>13.949999809265099</v>
      </c>
      <c r="E18">
        <v>13.8500003814697</v>
      </c>
      <c r="F18">
        <v>27.482093811035199</v>
      </c>
      <c r="G18">
        <v>1009</v>
      </c>
      <c r="H18" t="s">
        <v>35</v>
      </c>
      <c r="I18">
        <v>265</v>
      </c>
      <c r="J18">
        <v>10.8999996185303</v>
      </c>
      <c r="K18">
        <v>11.1000003814697</v>
      </c>
      <c r="L18">
        <v>10.9700002670288</v>
      </c>
      <c r="M18">
        <v>27.791265487670898</v>
      </c>
      <c r="N18">
        <v>533</v>
      </c>
    </row>
    <row r="19" spans="1:14" x14ac:dyDescent="0.2">
      <c r="A19" t="s">
        <v>36</v>
      </c>
      <c r="B19">
        <v>270</v>
      </c>
      <c r="C19">
        <v>11.1499996185303</v>
      </c>
      <c r="D19">
        <v>11.3999996185303</v>
      </c>
      <c r="E19">
        <v>11.3999996185303</v>
      </c>
      <c r="F19">
        <v>27.254724502563501</v>
      </c>
      <c r="G19">
        <v>3385</v>
      </c>
      <c r="H19" t="s">
        <v>37</v>
      </c>
      <c r="I19">
        <v>270</v>
      </c>
      <c r="J19">
        <v>13.199999809265099</v>
      </c>
      <c r="K19">
        <v>13.550000190734901</v>
      </c>
      <c r="L19">
        <v>13.6000003814697</v>
      </c>
      <c r="M19">
        <v>27.460901260376001</v>
      </c>
      <c r="N19">
        <v>446</v>
      </c>
    </row>
    <row r="20" spans="1:14" x14ac:dyDescent="0.2">
      <c r="A20" t="s">
        <v>38</v>
      </c>
      <c r="B20">
        <v>275</v>
      </c>
      <c r="C20">
        <v>8.8999996185302699</v>
      </c>
      <c r="D20">
        <v>9.1000003814697301</v>
      </c>
      <c r="E20">
        <v>9.0500001907348597</v>
      </c>
      <c r="F20">
        <v>26.733860015869102</v>
      </c>
      <c r="G20">
        <v>1639</v>
      </c>
      <c r="H20" t="s">
        <v>39</v>
      </c>
      <c r="I20">
        <v>275</v>
      </c>
      <c r="J20">
        <v>15.949999809265099</v>
      </c>
      <c r="K20">
        <v>16.299999237060501</v>
      </c>
      <c r="L20">
        <v>16.319999694824201</v>
      </c>
      <c r="M20">
        <v>27.064357757568398</v>
      </c>
      <c r="N20">
        <v>78</v>
      </c>
    </row>
    <row r="21" spans="1:14" x14ac:dyDescent="0.2">
      <c r="A21" s="2" t="s">
        <v>19</v>
      </c>
      <c r="B21" s="2"/>
      <c r="C21" s="2"/>
      <c r="D21" s="2"/>
      <c r="E21" s="2"/>
      <c r="F21" s="2"/>
      <c r="G21" s="2"/>
    </row>
    <row r="22" spans="1:14" x14ac:dyDescent="0.2">
      <c r="A22" t="s">
        <v>40</v>
      </c>
      <c r="B22">
        <v>255</v>
      </c>
      <c r="C22">
        <v>22.399999618530298</v>
      </c>
      <c r="D22">
        <v>22.799999237060501</v>
      </c>
      <c r="E22">
        <v>22.649999618530298</v>
      </c>
      <c r="F22">
        <v>28.3940525054932</v>
      </c>
      <c r="G22">
        <v>83</v>
      </c>
      <c r="H22" t="s">
        <v>41</v>
      </c>
      <c r="I22">
        <v>255</v>
      </c>
      <c r="J22">
        <v>8.8000001907348597</v>
      </c>
      <c r="K22">
        <v>9</v>
      </c>
      <c r="L22">
        <v>8.8999996185302699</v>
      </c>
      <c r="M22">
        <v>28.089403152465799</v>
      </c>
      <c r="N22">
        <v>265</v>
      </c>
    </row>
    <row r="23" spans="1:14" x14ac:dyDescent="0.2">
      <c r="A23" t="s">
        <v>42</v>
      </c>
      <c r="B23">
        <v>260</v>
      </c>
      <c r="C23">
        <v>19.149999618530298</v>
      </c>
      <c r="D23">
        <v>19.5</v>
      </c>
      <c r="E23">
        <v>19.340000152587901</v>
      </c>
      <c r="F23">
        <v>27.632402420043899</v>
      </c>
      <c r="G23">
        <v>3224</v>
      </c>
      <c r="H23" t="s">
        <v>43</v>
      </c>
      <c r="I23">
        <v>260</v>
      </c>
      <c r="J23">
        <v>10.6499996185303</v>
      </c>
      <c r="K23">
        <v>10.75</v>
      </c>
      <c r="L23">
        <v>10.6499996185303</v>
      </c>
      <c r="M23">
        <v>27.6318454742432</v>
      </c>
      <c r="N23">
        <v>168</v>
      </c>
    </row>
    <row r="24" spans="1:14" x14ac:dyDescent="0.2">
      <c r="A24" t="s">
        <v>44</v>
      </c>
      <c r="B24">
        <v>265</v>
      </c>
      <c r="C24">
        <v>16.299999237060501</v>
      </c>
      <c r="D24">
        <v>16.549999237060501</v>
      </c>
      <c r="E24">
        <v>16.299999237060501</v>
      </c>
      <c r="F24">
        <v>27.28830909729</v>
      </c>
      <c r="G24">
        <v>855</v>
      </c>
      <c r="H24" t="s">
        <v>45</v>
      </c>
      <c r="I24">
        <v>265</v>
      </c>
      <c r="J24">
        <v>12.699999809265099</v>
      </c>
      <c r="K24">
        <v>12.800000190734901</v>
      </c>
      <c r="L24">
        <v>12.699999809265099</v>
      </c>
      <c r="M24">
        <v>27.3382682800293</v>
      </c>
      <c r="N24">
        <v>141</v>
      </c>
    </row>
    <row r="25" spans="1:14" x14ac:dyDescent="0.2">
      <c r="A25" t="s">
        <v>46</v>
      </c>
      <c r="B25">
        <v>270</v>
      </c>
      <c r="C25">
        <v>13.6000003814697</v>
      </c>
      <c r="D25">
        <v>13.800000190734901</v>
      </c>
      <c r="E25">
        <v>13.7200002670288</v>
      </c>
      <c r="F25">
        <v>26.698751449585</v>
      </c>
      <c r="G25">
        <v>894</v>
      </c>
      <c r="H25" t="s">
        <v>47</v>
      </c>
      <c r="I25">
        <v>270</v>
      </c>
      <c r="J25">
        <v>14.8500003814697</v>
      </c>
      <c r="K25">
        <v>15.1499996185303</v>
      </c>
      <c r="L25">
        <v>15.050000190734901</v>
      </c>
      <c r="M25">
        <v>26.506858825683601</v>
      </c>
      <c r="N25">
        <v>47</v>
      </c>
    </row>
    <row r="26" spans="1:14" x14ac:dyDescent="0.2">
      <c r="A26" t="s">
        <v>48</v>
      </c>
      <c r="B26">
        <v>275</v>
      </c>
      <c r="C26">
        <v>11.25</v>
      </c>
      <c r="D26">
        <v>11.3999996185303</v>
      </c>
      <c r="E26">
        <v>11.319999694824199</v>
      </c>
      <c r="F26">
        <v>26.200546264648398</v>
      </c>
      <c r="G26">
        <v>326</v>
      </c>
      <c r="H26" t="s">
        <v>49</v>
      </c>
      <c r="I26">
        <v>275</v>
      </c>
      <c r="J26">
        <v>17.450000762939499</v>
      </c>
      <c r="K26">
        <v>17.899999618530298</v>
      </c>
      <c r="L26">
        <v>17.700000762939499</v>
      </c>
      <c r="M26">
        <v>26.129217147827099</v>
      </c>
      <c r="N26">
        <v>12</v>
      </c>
    </row>
    <row r="27" spans="1:14" x14ac:dyDescent="0.2">
      <c r="A27" s="2" t="s">
        <v>19</v>
      </c>
      <c r="B27" s="2"/>
      <c r="C27" s="2"/>
      <c r="D27" s="2"/>
      <c r="E27" s="2"/>
      <c r="F27" s="2"/>
      <c r="G27" s="2"/>
    </row>
    <row r="28" spans="1:14" x14ac:dyDescent="0.2">
      <c r="A28" t="s">
        <v>50</v>
      </c>
      <c r="B28">
        <v>255</v>
      </c>
      <c r="C28">
        <v>25.700000762939499</v>
      </c>
      <c r="D28">
        <v>26.149999618530298</v>
      </c>
      <c r="E28">
        <v>25.649999618530298</v>
      </c>
      <c r="F28">
        <v>28.844774246215799</v>
      </c>
      <c r="G28">
        <v>109</v>
      </c>
      <c r="H28" t="s">
        <v>51</v>
      </c>
      <c r="I28">
        <v>255</v>
      </c>
      <c r="J28">
        <v>11.3999996185303</v>
      </c>
      <c r="K28">
        <v>11.6000003814697</v>
      </c>
      <c r="L28">
        <v>11.699999809265099</v>
      </c>
      <c r="M28">
        <v>28.850349426269499</v>
      </c>
      <c r="N28">
        <v>159</v>
      </c>
    </row>
    <row r="29" spans="1:14" x14ac:dyDescent="0.2">
      <c r="A29" t="s">
        <v>52</v>
      </c>
      <c r="B29">
        <v>260</v>
      </c>
      <c r="C29">
        <v>22.549999237060501</v>
      </c>
      <c r="D29">
        <v>22.950000762939499</v>
      </c>
      <c r="E29">
        <v>23</v>
      </c>
      <c r="F29">
        <v>28.347171783447301</v>
      </c>
      <c r="G29">
        <v>322</v>
      </c>
      <c r="H29" t="s">
        <v>53</v>
      </c>
      <c r="I29">
        <v>260</v>
      </c>
      <c r="J29">
        <v>13.25</v>
      </c>
      <c r="K29">
        <v>13.449999809265099</v>
      </c>
      <c r="L29">
        <v>13.560000419616699</v>
      </c>
      <c r="M29">
        <v>28.331636428833001</v>
      </c>
      <c r="N29">
        <v>80</v>
      </c>
    </row>
    <row r="30" spans="1:14" x14ac:dyDescent="0.2">
      <c r="A30" t="s">
        <v>54</v>
      </c>
      <c r="B30">
        <v>265</v>
      </c>
      <c r="C30">
        <v>19.700000762939499</v>
      </c>
      <c r="D30">
        <v>20</v>
      </c>
      <c r="E30">
        <v>19.860000610351602</v>
      </c>
      <c r="F30">
        <v>27.8277912139893</v>
      </c>
      <c r="G30">
        <v>669</v>
      </c>
      <c r="H30" t="s">
        <v>55</v>
      </c>
      <c r="I30">
        <v>265</v>
      </c>
      <c r="J30">
        <v>15.25</v>
      </c>
      <c r="K30">
        <v>15.5</v>
      </c>
      <c r="L30">
        <v>15.560000419616699</v>
      </c>
      <c r="M30">
        <v>27.801855087280298</v>
      </c>
      <c r="N30">
        <v>43</v>
      </c>
    </row>
    <row r="31" spans="1:14" x14ac:dyDescent="0.2">
      <c r="A31" t="s">
        <v>56</v>
      </c>
      <c r="B31">
        <v>270</v>
      </c>
      <c r="C31">
        <v>17.049999237060501</v>
      </c>
      <c r="D31">
        <v>17.299999237060501</v>
      </c>
      <c r="E31">
        <v>17.2299995422363</v>
      </c>
      <c r="F31">
        <v>27.400255203247099</v>
      </c>
      <c r="G31">
        <v>612</v>
      </c>
      <c r="H31" t="s">
        <v>57</v>
      </c>
      <c r="I31">
        <v>270</v>
      </c>
      <c r="J31">
        <v>17.549999237060501</v>
      </c>
      <c r="K31">
        <v>17.75</v>
      </c>
      <c r="L31">
        <v>18.450000762939499</v>
      </c>
      <c r="M31">
        <v>27.2972106933594</v>
      </c>
      <c r="N31">
        <v>5</v>
      </c>
    </row>
    <row r="32" spans="1:14" x14ac:dyDescent="0.2">
      <c r="A32" t="s">
        <v>58</v>
      </c>
      <c r="B32">
        <v>275</v>
      </c>
      <c r="C32">
        <v>14.6000003814697</v>
      </c>
      <c r="D32">
        <v>14.800000190734901</v>
      </c>
      <c r="E32">
        <v>14.800000190734901</v>
      </c>
      <c r="F32">
        <v>26.997138977050799</v>
      </c>
      <c r="G32">
        <v>66</v>
      </c>
      <c r="H32" t="s">
        <v>59</v>
      </c>
      <c r="I32">
        <v>275</v>
      </c>
      <c r="J32">
        <v>20.100000381469702</v>
      </c>
      <c r="K32">
        <v>20.399999618530298</v>
      </c>
      <c r="L32">
        <v>20.649999618530298</v>
      </c>
      <c r="M32">
        <v>26.996677398681602</v>
      </c>
      <c r="N32">
        <v>5</v>
      </c>
    </row>
    <row r="33" spans="1:14" x14ac:dyDescent="0.2">
      <c r="A33" s="2" t="s">
        <v>19</v>
      </c>
      <c r="B33" s="2"/>
      <c r="C33" s="2"/>
      <c r="D33" s="2"/>
      <c r="E33" s="2"/>
      <c r="F33" s="2"/>
      <c r="G33" s="2"/>
    </row>
    <row r="34" spans="1:14" x14ac:dyDescent="0.2">
      <c r="A34" t="s">
        <v>60</v>
      </c>
      <c r="B34">
        <v>255</v>
      </c>
      <c r="C34">
        <v>27.850000381469702</v>
      </c>
      <c r="D34">
        <v>28.25</v>
      </c>
      <c r="E34">
        <v>27.75</v>
      </c>
      <c r="F34">
        <v>28.849674224853501</v>
      </c>
      <c r="G34">
        <v>49</v>
      </c>
      <c r="H34" t="s">
        <v>61</v>
      </c>
      <c r="I34">
        <v>255</v>
      </c>
      <c r="J34">
        <v>12.800000190734901</v>
      </c>
      <c r="K34">
        <v>13</v>
      </c>
      <c r="L34">
        <v>13.0900001525879</v>
      </c>
      <c r="M34">
        <v>28.7047233581543</v>
      </c>
      <c r="N34">
        <v>201</v>
      </c>
    </row>
    <row r="35" spans="1:14" x14ac:dyDescent="0.2">
      <c r="A35" t="s">
        <v>62</v>
      </c>
      <c r="B35">
        <v>260</v>
      </c>
      <c r="C35">
        <v>24.75</v>
      </c>
      <c r="D35">
        <v>25.200000762939499</v>
      </c>
      <c r="E35">
        <v>25</v>
      </c>
      <c r="F35">
        <v>28.462699890136701</v>
      </c>
      <c r="G35">
        <v>272</v>
      </c>
      <c r="H35" t="s">
        <v>63</v>
      </c>
      <c r="I35">
        <v>260</v>
      </c>
      <c r="J35">
        <v>14.6499996185303</v>
      </c>
      <c r="K35">
        <v>14.8500003814697</v>
      </c>
      <c r="L35">
        <v>14.960000038146999</v>
      </c>
      <c r="M35">
        <v>28.211603164672901</v>
      </c>
      <c r="N35">
        <v>60</v>
      </c>
    </row>
    <row r="36" spans="1:14" x14ac:dyDescent="0.2">
      <c r="A36" t="s">
        <v>64</v>
      </c>
      <c r="B36">
        <v>265</v>
      </c>
      <c r="C36">
        <v>21.850000381469702</v>
      </c>
      <c r="D36">
        <v>22.149999618530298</v>
      </c>
      <c r="E36">
        <v>21.870000839233398</v>
      </c>
      <c r="F36">
        <v>27.860416412353501</v>
      </c>
      <c r="G36">
        <v>235</v>
      </c>
      <c r="H36" t="s">
        <v>65</v>
      </c>
      <c r="I36">
        <v>265</v>
      </c>
      <c r="J36">
        <v>16.700000762939499</v>
      </c>
      <c r="K36">
        <v>16.899999618530298</v>
      </c>
      <c r="L36">
        <v>17.120000839233398</v>
      </c>
      <c r="M36">
        <v>27.700038909912099</v>
      </c>
      <c r="N36">
        <v>12</v>
      </c>
    </row>
    <row r="37" spans="1:14" x14ac:dyDescent="0.2">
      <c r="A37" t="s">
        <v>66</v>
      </c>
      <c r="B37">
        <v>270</v>
      </c>
      <c r="C37">
        <v>19.149999618530298</v>
      </c>
      <c r="D37">
        <v>19.350000381469702</v>
      </c>
      <c r="E37">
        <v>19.25</v>
      </c>
      <c r="F37">
        <v>27.3595275878906</v>
      </c>
      <c r="G37">
        <v>185</v>
      </c>
      <c r="H37" t="s">
        <v>67</v>
      </c>
      <c r="I37">
        <v>270</v>
      </c>
      <c r="J37">
        <v>19</v>
      </c>
      <c r="K37">
        <v>19.200000762939499</v>
      </c>
      <c r="L37">
        <v>19.399999618530298</v>
      </c>
      <c r="M37">
        <v>27.306930541992202</v>
      </c>
      <c r="N37">
        <v>13</v>
      </c>
    </row>
    <row r="38" spans="1:14" x14ac:dyDescent="0.2">
      <c r="A38" t="s">
        <v>68</v>
      </c>
      <c r="B38">
        <v>275</v>
      </c>
      <c r="C38">
        <v>16.700000762939499</v>
      </c>
      <c r="D38">
        <v>16.899999618530298</v>
      </c>
      <c r="E38">
        <v>16.700000762939499</v>
      </c>
      <c r="F38">
        <v>27.063234329223601</v>
      </c>
      <c r="G38">
        <v>155</v>
      </c>
      <c r="H38" t="s">
        <v>69</v>
      </c>
      <c r="I38">
        <v>275</v>
      </c>
      <c r="J38">
        <v>21.450000762939499</v>
      </c>
      <c r="K38">
        <v>21.700000762939499</v>
      </c>
      <c r="L38">
        <v>22</v>
      </c>
      <c r="M38">
        <v>26.863529205322301</v>
      </c>
      <c r="N38">
        <v>12</v>
      </c>
    </row>
    <row r="39" spans="1:14" x14ac:dyDescent="0.2">
      <c r="A39" s="2" t="s">
        <v>19</v>
      </c>
      <c r="B39" s="2"/>
      <c r="C39" s="2"/>
      <c r="D39" s="2"/>
      <c r="E39" s="2"/>
      <c r="F39" s="2"/>
      <c r="G39" s="2"/>
    </row>
    <row r="40" spans="1:14" x14ac:dyDescent="0.2">
      <c r="A40" t="s">
        <v>70</v>
      </c>
      <c r="B40">
        <v>255</v>
      </c>
      <c r="C40">
        <v>29.350000381469702</v>
      </c>
      <c r="D40">
        <v>30.75</v>
      </c>
      <c r="E40">
        <v>30</v>
      </c>
      <c r="F40">
        <v>28.4444770812988</v>
      </c>
      <c r="G40">
        <v>10</v>
      </c>
      <c r="H40" t="s">
        <v>71</v>
      </c>
      <c r="I40">
        <v>255</v>
      </c>
      <c r="J40">
        <v>14</v>
      </c>
      <c r="K40">
        <v>14.300000190734901</v>
      </c>
      <c r="L40">
        <v>14.5</v>
      </c>
      <c r="M40">
        <v>28.155097961425799</v>
      </c>
      <c r="N40">
        <v>48</v>
      </c>
    </row>
    <row r="41" spans="1:14" x14ac:dyDescent="0.2">
      <c r="A41" t="s">
        <v>72</v>
      </c>
      <c r="B41">
        <v>260</v>
      </c>
      <c r="C41">
        <v>26.75</v>
      </c>
      <c r="D41">
        <v>27.25</v>
      </c>
      <c r="E41">
        <v>27</v>
      </c>
      <c r="F41">
        <v>28.030759811401399</v>
      </c>
      <c r="G41">
        <v>242</v>
      </c>
      <c r="H41" t="s">
        <v>73</v>
      </c>
      <c r="I41">
        <v>260</v>
      </c>
      <c r="J41">
        <v>15.8999996185303</v>
      </c>
      <c r="K41">
        <v>16.25</v>
      </c>
      <c r="L41">
        <v>16.649999618530298</v>
      </c>
      <c r="M41">
        <v>27.807048797607401</v>
      </c>
      <c r="N41">
        <v>2</v>
      </c>
    </row>
    <row r="42" spans="1:14" x14ac:dyDescent="0.2">
      <c r="A42" t="s">
        <v>74</v>
      </c>
      <c r="B42">
        <v>265</v>
      </c>
      <c r="C42">
        <v>23.899999618530298</v>
      </c>
      <c r="D42">
        <v>24.25</v>
      </c>
      <c r="E42">
        <v>23.7700004577637</v>
      </c>
      <c r="F42">
        <v>27.521928787231399</v>
      </c>
      <c r="G42">
        <v>174</v>
      </c>
      <c r="H42" t="s">
        <v>75</v>
      </c>
      <c r="I42">
        <v>265</v>
      </c>
      <c r="J42">
        <v>18</v>
      </c>
      <c r="K42">
        <v>18.299999237060501</v>
      </c>
      <c r="L42">
        <v>18.399999618530298</v>
      </c>
      <c r="M42">
        <v>27.306236267089801</v>
      </c>
      <c r="N42">
        <v>2</v>
      </c>
    </row>
    <row r="43" spans="1:14" x14ac:dyDescent="0.2">
      <c r="A43" t="s">
        <v>76</v>
      </c>
      <c r="B43">
        <v>270</v>
      </c>
      <c r="C43">
        <v>21.200000762939499</v>
      </c>
      <c r="D43">
        <v>21.5</v>
      </c>
      <c r="E43">
        <v>21.399999618530298</v>
      </c>
      <c r="F43">
        <v>27.093091964721701</v>
      </c>
      <c r="G43">
        <v>330</v>
      </c>
      <c r="H43" t="s">
        <v>77</v>
      </c>
      <c r="I43">
        <v>270</v>
      </c>
      <c r="J43">
        <v>20.200000762939499</v>
      </c>
      <c r="K43">
        <v>20.649999618530298</v>
      </c>
      <c r="L43">
        <v>20.680000305175799</v>
      </c>
      <c r="M43">
        <v>26.938261032104499</v>
      </c>
      <c r="N43">
        <v>6</v>
      </c>
    </row>
    <row r="44" spans="1:14" x14ac:dyDescent="0.2">
      <c r="A44" t="s">
        <v>78</v>
      </c>
      <c r="B44">
        <v>275</v>
      </c>
      <c r="C44">
        <v>18.700000762939499</v>
      </c>
      <c r="D44">
        <v>19.049999237060501</v>
      </c>
      <c r="E44">
        <v>18.5</v>
      </c>
      <c r="F44">
        <v>26.759326934814499</v>
      </c>
      <c r="G44">
        <v>231</v>
      </c>
      <c r="H44" t="s">
        <v>79</v>
      </c>
      <c r="I44">
        <v>275</v>
      </c>
      <c r="J44">
        <v>22.549999237060501</v>
      </c>
      <c r="K44">
        <v>23.100000381469702</v>
      </c>
      <c r="L44">
        <v>23</v>
      </c>
      <c r="M44">
        <v>26.4400329589844</v>
      </c>
      <c r="N44">
        <v>5</v>
      </c>
    </row>
    <row r="45" spans="1:14" x14ac:dyDescent="0.2">
      <c r="A45" s="2" t="s">
        <v>19</v>
      </c>
      <c r="B45" s="2"/>
      <c r="C45" s="2"/>
      <c r="D45" s="2"/>
      <c r="E45" s="2"/>
      <c r="F45" s="2"/>
      <c r="G45" s="2"/>
    </row>
    <row r="46" spans="1:14" x14ac:dyDescent="0.2">
      <c r="A46" t="s">
        <v>80</v>
      </c>
      <c r="B46">
        <v>255</v>
      </c>
      <c r="C46">
        <v>31.899999618530298</v>
      </c>
      <c r="D46">
        <v>32.900001525878899</v>
      </c>
      <c r="E46">
        <v>32.150001525878899</v>
      </c>
      <c r="F46">
        <v>28.420295715331999</v>
      </c>
      <c r="G46">
        <v>104</v>
      </c>
      <c r="H46" t="s">
        <v>81</v>
      </c>
      <c r="I46">
        <v>255</v>
      </c>
      <c r="J46">
        <v>15.8500003814697</v>
      </c>
      <c r="K46">
        <v>16.100000381469702</v>
      </c>
      <c r="L46">
        <v>17.299999237060501</v>
      </c>
      <c r="M46">
        <v>28.5398979187012</v>
      </c>
      <c r="N46">
        <v>1</v>
      </c>
    </row>
    <row r="47" spans="1:14" x14ac:dyDescent="0.2">
      <c r="A47" t="s">
        <v>82</v>
      </c>
      <c r="B47">
        <v>260</v>
      </c>
      <c r="C47">
        <v>28.799999237060501</v>
      </c>
      <c r="D47">
        <v>30.200000762939499</v>
      </c>
      <c r="E47">
        <v>29.049999237060501</v>
      </c>
      <c r="F47">
        <v>28.183795928955099</v>
      </c>
      <c r="G47">
        <v>75</v>
      </c>
      <c r="H47" t="s">
        <v>83</v>
      </c>
      <c r="I47">
        <v>260</v>
      </c>
      <c r="J47">
        <v>17.700000762939499</v>
      </c>
      <c r="K47">
        <v>18.149999618530298</v>
      </c>
      <c r="L47">
        <v>18.399999618530298</v>
      </c>
      <c r="M47">
        <v>28.167213439941399</v>
      </c>
      <c r="N47">
        <v>2</v>
      </c>
    </row>
    <row r="48" spans="1:14" x14ac:dyDescent="0.2">
      <c r="A48" t="s">
        <v>84</v>
      </c>
      <c r="B48">
        <v>265</v>
      </c>
      <c r="C48">
        <v>26.25</v>
      </c>
      <c r="D48">
        <v>27.200000762939499</v>
      </c>
      <c r="E48">
        <v>26.2700004577637</v>
      </c>
      <c r="F48">
        <v>27.906593322753899</v>
      </c>
      <c r="G48">
        <v>18</v>
      </c>
      <c r="H48" t="s">
        <v>85</v>
      </c>
      <c r="I48">
        <v>265</v>
      </c>
      <c r="J48">
        <v>19.799999237060501</v>
      </c>
      <c r="K48">
        <v>20.25</v>
      </c>
      <c r="L48">
        <v>21.850000381469702</v>
      </c>
      <c r="M48">
        <v>27.801078796386701</v>
      </c>
      <c r="N48">
        <v>0</v>
      </c>
    </row>
    <row r="49" spans="1:14" x14ac:dyDescent="0.2">
      <c r="A49" t="s">
        <v>86</v>
      </c>
      <c r="B49">
        <v>270</v>
      </c>
      <c r="C49">
        <v>23.799999237060501</v>
      </c>
      <c r="D49">
        <v>24.25</v>
      </c>
      <c r="E49">
        <v>23.600000381469702</v>
      </c>
      <c r="F49">
        <v>27.52903175354</v>
      </c>
      <c r="G49">
        <v>145</v>
      </c>
      <c r="H49" t="s">
        <v>87</v>
      </c>
      <c r="I49">
        <v>270</v>
      </c>
      <c r="J49">
        <v>22.049999237060501</v>
      </c>
      <c r="K49">
        <v>22.600000381469702</v>
      </c>
      <c r="L49">
        <v>22.969999313354499</v>
      </c>
      <c r="M49">
        <v>27.457260131835898</v>
      </c>
      <c r="N49">
        <v>10</v>
      </c>
    </row>
    <row r="50" spans="1:14" x14ac:dyDescent="0.2">
      <c r="A50" t="s">
        <v>88</v>
      </c>
      <c r="B50">
        <v>275</v>
      </c>
      <c r="C50">
        <v>21.200000762939499</v>
      </c>
      <c r="D50">
        <v>21.899999618530298</v>
      </c>
      <c r="E50">
        <v>21.5</v>
      </c>
      <c r="F50">
        <v>27.2314147949219</v>
      </c>
      <c r="G50">
        <v>16</v>
      </c>
      <c r="H50" t="s">
        <v>89</v>
      </c>
      <c r="I50">
        <v>275</v>
      </c>
      <c r="J50">
        <v>24.549999237060501</v>
      </c>
      <c r="K50">
        <v>25.049999237060501</v>
      </c>
      <c r="L50">
        <v>27.399999618530298</v>
      </c>
      <c r="M50">
        <v>27.134262084960898</v>
      </c>
      <c r="N50">
        <v>0</v>
      </c>
    </row>
    <row r="51" spans="1:14" x14ac:dyDescent="0.2">
      <c r="A51" s="2" t="s">
        <v>19</v>
      </c>
      <c r="B51" s="2"/>
      <c r="C51" s="2"/>
      <c r="D51" s="2"/>
      <c r="E51" s="2"/>
      <c r="F51" s="2"/>
      <c r="G51" s="2"/>
    </row>
    <row r="52" spans="1:14" x14ac:dyDescent="0.2">
      <c r="A52" t="s">
        <v>90</v>
      </c>
      <c r="B52">
        <v>255</v>
      </c>
      <c r="C52">
        <v>34</v>
      </c>
      <c r="D52">
        <v>34.549999237060497</v>
      </c>
      <c r="E52">
        <v>34</v>
      </c>
      <c r="F52">
        <v>28.564622879028299</v>
      </c>
      <c r="G52">
        <v>34</v>
      </c>
      <c r="H52" t="s">
        <v>91</v>
      </c>
      <c r="I52">
        <v>255</v>
      </c>
      <c r="J52">
        <v>16.850000381469702</v>
      </c>
      <c r="K52">
        <v>17.100000381469702</v>
      </c>
      <c r="L52">
        <v>17.200000762939499</v>
      </c>
      <c r="M52">
        <v>28.401048660278299</v>
      </c>
      <c r="N52">
        <v>6</v>
      </c>
    </row>
    <row r="53" spans="1:14" x14ac:dyDescent="0.2">
      <c r="A53" t="s">
        <v>92</v>
      </c>
      <c r="B53">
        <v>260</v>
      </c>
      <c r="C53">
        <v>31.049999237060501</v>
      </c>
      <c r="D53">
        <v>31.5</v>
      </c>
      <c r="E53">
        <v>30.700000762939499</v>
      </c>
      <c r="F53">
        <v>28.216861724853501</v>
      </c>
      <c r="G53">
        <v>162</v>
      </c>
      <c r="H53" t="s">
        <v>93</v>
      </c>
      <c r="I53">
        <v>260</v>
      </c>
      <c r="J53">
        <v>18.799999237060501</v>
      </c>
      <c r="K53">
        <v>19.049999237060501</v>
      </c>
      <c r="L53">
        <v>19.100000381469702</v>
      </c>
      <c r="M53">
        <v>28.030591964721701</v>
      </c>
      <c r="N53">
        <v>110</v>
      </c>
    </row>
    <row r="54" spans="1:14" x14ac:dyDescent="0.2">
      <c r="A54" t="s">
        <v>94</v>
      </c>
      <c r="B54">
        <v>265</v>
      </c>
      <c r="C54">
        <v>28.100000381469702</v>
      </c>
      <c r="D54">
        <v>28.600000381469702</v>
      </c>
      <c r="E54">
        <v>28.399999618530298</v>
      </c>
      <c r="F54">
        <v>27.7332553863525</v>
      </c>
      <c r="G54">
        <v>42</v>
      </c>
      <c r="H54" t="s">
        <v>95</v>
      </c>
      <c r="I54">
        <v>265</v>
      </c>
      <c r="J54">
        <v>20.850000381469702</v>
      </c>
      <c r="K54">
        <v>21.149999618530298</v>
      </c>
      <c r="L54">
        <v>21.2700004577637</v>
      </c>
      <c r="M54">
        <v>27.595098495483398</v>
      </c>
      <c r="N54">
        <v>281</v>
      </c>
    </row>
    <row r="55" spans="1:14" x14ac:dyDescent="0.2">
      <c r="A55" t="s">
        <v>96</v>
      </c>
      <c r="B55">
        <v>270</v>
      </c>
      <c r="C55">
        <v>25.549999237060501</v>
      </c>
      <c r="D55">
        <v>25.850000381469702</v>
      </c>
      <c r="E55">
        <v>25.7399997711182</v>
      </c>
      <c r="F55">
        <v>27.475135803222699</v>
      </c>
      <c r="G55">
        <v>58</v>
      </c>
      <c r="H55" t="s">
        <v>97</v>
      </c>
      <c r="I55">
        <v>270</v>
      </c>
      <c r="J55">
        <v>23.149999618530298</v>
      </c>
      <c r="K55">
        <v>23.399999618530298</v>
      </c>
      <c r="L55">
        <v>23.75</v>
      </c>
      <c r="M55">
        <v>27.2771816253662</v>
      </c>
      <c r="N55">
        <v>50</v>
      </c>
    </row>
    <row r="56" spans="1:14" x14ac:dyDescent="0.2">
      <c r="A56" t="s">
        <v>98</v>
      </c>
      <c r="B56">
        <v>275</v>
      </c>
      <c r="C56">
        <v>23</v>
      </c>
      <c r="D56">
        <v>23.299999237060501</v>
      </c>
      <c r="E56">
        <v>23.049999237060501</v>
      </c>
      <c r="F56">
        <v>27.1131687164307</v>
      </c>
      <c r="G56">
        <v>49</v>
      </c>
      <c r="H56" t="s">
        <v>99</v>
      </c>
      <c r="I56">
        <v>275</v>
      </c>
      <c r="J56">
        <v>25.549999237060501</v>
      </c>
      <c r="K56">
        <v>25.899999618530298</v>
      </c>
      <c r="L56">
        <v>26.719999313354499</v>
      </c>
      <c r="M56">
        <v>26.941389083862301</v>
      </c>
      <c r="N56">
        <v>73</v>
      </c>
    </row>
    <row r="57" spans="1:14" x14ac:dyDescent="0.2">
      <c r="A57" s="2" t="s">
        <v>19</v>
      </c>
      <c r="B57" s="2"/>
      <c r="C57" s="2"/>
      <c r="D57" s="2"/>
      <c r="E57" s="2"/>
      <c r="F57" s="2"/>
      <c r="G57" s="2"/>
    </row>
    <row r="58" spans="1:14" x14ac:dyDescent="0.2">
      <c r="A58" t="s">
        <v>100</v>
      </c>
      <c r="B58">
        <v>250</v>
      </c>
      <c r="C58">
        <v>38.849998474121101</v>
      </c>
      <c r="D58">
        <v>39.400001525878899</v>
      </c>
      <c r="E58">
        <v>39</v>
      </c>
      <c r="F58">
        <v>28.998287200927699</v>
      </c>
      <c r="G58">
        <v>898</v>
      </c>
      <c r="H58" t="s">
        <v>101</v>
      </c>
      <c r="I58">
        <v>250</v>
      </c>
      <c r="J58">
        <v>16</v>
      </c>
      <c r="K58">
        <v>16.200000762939499</v>
      </c>
      <c r="L58">
        <v>16.139999389648398</v>
      </c>
      <c r="M58">
        <v>28.7212104797363</v>
      </c>
      <c r="N58">
        <v>77</v>
      </c>
    </row>
    <row r="59" spans="1:14" x14ac:dyDescent="0.2">
      <c r="A59" t="s">
        <v>102</v>
      </c>
      <c r="B59">
        <v>260</v>
      </c>
      <c r="C59">
        <v>32.75</v>
      </c>
      <c r="D59">
        <v>33.299999237060497</v>
      </c>
      <c r="E59">
        <v>32.950000762939503</v>
      </c>
      <c r="F59">
        <v>28.256822586059599</v>
      </c>
      <c r="G59">
        <v>261</v>
      </c>
      <c r="H59" t="s">
        <v>103</v>
      </c>
      <c r="I59">
        <v>260</v>
      </c>
      <c r="J59">
        <v>19.75</v>
      </c>
      <c r="K59">
        <v>19.950000762939499</v>
      </c>
      <c r="L59">
        <v>20.180000305175799</v>
      </c>
      <c r="M59">
        <v>27.895734786987301</v>
      </c>
      <c r="N59">
        <v>55</v>
      </c>
    </row>
    <row r="60" spans="1:14" x14ac:dyDescent="0.2">
      <c r="A60" t="s">
        <v>104</v>
      </c>
      <c r="B60">
        <v>270</v>
      </c>
      <c r="C60">
        <v>27.25</v>
      </c>
      <c r="D60">
        <v>27.5</v>
      </c>
      <c r="E60">
        <v>27.549999237060501</v>
      </c>
      <c r="F60">
        <v>27.4769897460938</v>
      </c>
      <c r="G60">
        <v>460</v>
      </c>
      <c r="H60" t="s">
        <v>105</v>
      </c>
      <c r="I60">
        <v>270</v>
      </c>
      <c r="J60">
        <v>24.100000381469702</v>
      </c>
      <c r="K60">
        <v>24.350000381469702</v>
      </c>
      <c r="L60">
        <v>24.600000381469702</v>
      </c>
      <c r="M60">
        <v>27.194513320922901</v>
      </c>
      <c r="N60">
        <v>97</v>
      </c>
    </row>
    <row r="61" spans="1:14" x14ac:dyDescent="0.2">
      <c r="A61" t="s">
        <v>106</v>
      </c>
      <c r="B61">
        <v>280</v>
      </c>
      <c r="C61">
        <v>22.350000381469702</v>
      </c>
      <c r="D61">
        <v>22.600000381469702</v>
      </c>
      <c r="E61">
        <v>22.549999237060501</v>
      </c>
      <c r="F61">
        <v>26.818254470825199</v>
      </c>
      <c r="G61">
        <v>1038</v>
      </c>
      <c r="H61" t="s">
        <v>107</v>
      </c>
      <c r="I61">
        <v>280</v>
      </c>
      <c r="J61">
        <v>29.149999618530298</v>
      </c>
      <c r="K61">
        <v>29.399999618530298</v>
      </c>
      <c r="L61">
        <v>29.860000610351602</v>
      </c>
      <c r="M61">
        <v>26.5628452301025</v>
      </c>
      <c r="N61">
        <v>23</v>
      </c>
    </row>
    <row r="62" spans="1:14" x14ac:dyDescent="0.2">
      <c r="A62" t="s">
        <v>108</v>
      </c>
      <c r="B62">
        <v>290</v>
      </c>
      <c r="C62">
        <v>18.049999237060501</v>
      </c>
      <c r="D62">
        <v>18.350000381469702</v>
      </c>
      <c r="E62">
        <v>18.149999618530298</v>
      </c>
      <c r="F62">
        <v>26.3121643066406</v>
      </c>
      <c r="G62">
        <v>142</v>
      </c>
      <c r="H62" t="s">
        <v>109</v>
      </c>
      <c r="I62">
        <v>290</v>
      </c>
      <c r="J62">
        <v>34.900001525878899</v>
      </c>
      <c r="K62">
        <v>35.200000762939503</v>
      </c>
      <c r="L62">
        <v>38.049999237060497</v>
      </c>
      <c r="M62">
        <v>25.9958171844482</v>
      </c>
      <c r="N62">
        <v>0</v>
      </c>
    </row>
    <row r="63" spans="1:14" x14ac:dyDescent="0.2">
      <c r="A63" s="2" t="s">
        <v>19</v>
      </c>
      <c r="B63" s="2"/>
      <c r="C63" s="2"/>
      <c r="D63" s="2"/>
      <c r="E63" s="2"/>
      <c r="F63" s="2"/>
      <c r="G63" s="2"/>
    </row>
    <row r="64" spans="1:14" x14ac:dyDescent="0.2">
      <c r="A64" t="s">
        <v>110</v>
      </c>
      <c r="B64">
        <v>250</v>
      </c>
      <c r="C64">
        <v>42.150001525878899</v>
      </c>
      <c r="D64">
        <v>43.799999237060497</v>
      </c>
      <c r="E64">
        <v>42.599998474121101</v>
      </c>
      <c r="F64">
        <v>29.3610515594482</v>
      </c>
      <c r="G64">
        <v>146</v>
      </c>
      <c r="H64" t="s">
        <v>111</v>
      </c>
      <c r="I64">
        <v>250</v>
      </c>
      <c r="J64">
        <v>18.149999618530298</v>
      </c>
      <c r="K64">
        <v>18.799999237060501</v>
      </c>
      <c r="L64">
        <v>18.399999618530298</v>
      </c>
      <c r="M64">
        <v>28.935798645019499</v>
      </c>
      <c r="N64">
        <v>42</v>
      </c>
    </row>
    <row r="65" spans="1:14" x14ac:dyDescent="0.2">
      <c r="A65" t="s">
        <v>112</v>
      </c>
      <c r="B65">
        <v>260</v>
      </c>
      <c r="C65">
        <v>34.849998474121101</v>
      </c>
      <c r="D65">
        <v>37.799999237060497</v>
      </c>
      <c r="E65">
        <v>36.299999237060497</v>
      </c>
      <c r="F65">
        <v>27.998266220092798</v>
      </c>
      <c r="G65">
        <v>182</v>
      </c>
      <c r="H65" t="s">
        <v>113</v>
      </c>
      <c r="I65">
        <v>260</v>
      </c>
      <c r="J65">
        <v>21</v>
      </c>
      <c r="K65">
        <v>22.549999237060501</v>
      </c>
      <c r="L65">
        <v>22.5</v>
      </c>
      <c r="M65">
        <v>27.7087917327881</v>
      </c>
      <c r="N65">
        <v>239</v>
      </c>
    </row>
    <row r="66" spans="1:14" x14ac:dyDescent="0.2">
      <c r="A66" t="s">
        <v>114</v>
      </c>
      <c r="B66">
        <v>270</v>
      </c>
      <c r="C66">
        <v>30.200000762939499</v>
      </c>
      <c r="D66">
        <v>31.5</v>
      </c>
      <c r="E66">
        <v>30.899999618530298</v>
      </c>
      <c r="F66">
        <v>27.4260578155518</v>
      </c>
      <c r="G66">
        <v>182</v>
      </c>
      <c r="H66" t="s">
        <v>115</v>
      </c>
      <c r="I66">
        <v>270</v>
      </c>
      <c r="J66">
        <v>26.299999237060501</v>
      </c>
      <c r="K66">
        <v>27.149999618530298</v>
      </c>
      <c r="L66">
        <v>27</v>
      </c>
      <c r="M66">
        <v>27.603456497192401</v>
      </c>
      <c r="N66">
        <v>21</v>
      </c>
    </row>
    <row r="67" spans="1:14" x14ac:dyDescent="0.2">
      <c r="A67" t="s">
        <v>116</v>
      </c>
      <c r="B67">
        <v>280</v>
      </c>
      <c r="C67">
        <v>25.799999237060501</v>
      </c>
      <c r="D67">
        <v>26.899999618530298</v>
      </c>
      <c r="E67">
        <v>25.850000381469702</v>
      </c>
      <c r="F67">
        <v>27.272169113159201</v>
      </c>
      <c r="G67">
        <v>143</v>
      </c>
      <c r="H67" t="s">
        <v>117</v>
      </c>
      <c r="I67">
        <v>280</v>
      </c>
      <c r="J67">
        <v>29</v>
      </c>
      <c r="K67">
        <v>32.599998474121101</v>
      </c>
      <c r="L67">
        <v>34.610000610351598</v>
      </c>
      <c r="M67">
        <v>26.123203277587901</v>
      </c>
      <c r="N67">
        <v>0</v>
      </c>
    </row>
    <row r="68" spans="1:14" x14ac:dyDescent="0.2">
      <c r="A68" t="s">
        <v>118</v>
      </c>
      <c r="B68">
        <v>290</v>
      </c>
      <c r="C68">
        <v>21.600000381469702</v>
      </c>
      <c r="D68">
        <v>22.399999618530298</v>
      </c>
      <c r="E68">
        <v>21.75</v>
      </c>
      <c r="F68">
        <v>26.817022323608398</v>
      </c>
      <c r="G68">
        <v>60</v>
      </c>
      <c r="H68" t="s">
        <v>119</v>
      </c>
      <c r="I68">
        <v>290</v>
      </c>
      <c r="J68">
        <v>36.400001525878899</v>
      </c>
      <c r="K68">
        <v>38.049999237060497</v>
      </c>
      <c r="L68">
        <v>38.2299995422363</v>
      </c>
      <c r="M68">
        <v>26.3281650543213</v>
      </c>
      <c r="N68">
        <v>31</v>
      </c>
    </row>
    <row r="69" spans="1:14" x14ac:dyDescent="0.2">
      <c r="A69" s="2" t="s">
        <v>19</v>
      </c>
      <c r="B69" s="2"/>
      <c r="C69" s="2"/>
      <c r="D69" s="2"/>
      <c r="E69" s="2"/>
      <c r="F69" s="2"/>
      <c r="G69" s="2"/>
    </row>
    <row r="70" spans="1:14" x14ac:dyDescent="0.2">
      <c r="A70" t="s">
        <v>120</v>
      </c>
      <c r="B70">
        <v>250</v>
      </c>
      <c r="C70">
        <v>47.349998474121101</v>
      </c>
      <c r="D70">
        <v>47.849998474121101</v>
      </c>
      <c r="E70">
        <v>47.549999237060497</v>
      </c>
      <c r="F70">
        <v>29.371545791626001</v>
      </c>
      <c r="G70">
        <v>90</v>
      </c>
      <c r="H70" t="s">
        <v>121</v>
      </c>
      <c r="I70">
        <v>250</v>
      </c>
      <c r="J70">
        <v>21.100000381469702</v>
      </c>
      <c r="K70">
        <v>21.399999618530298</v>
      </c>
      <c r="L70">
        <v>21.25</v>
      </c>
      <c r="M70">
        <v>29.0654182434082</v>
      </c>
      <c r="N70">
        <v>56</v>
      </c>
    </row>
    <row r="71" spans="1:14" x14ac:dyDescent="0.2">
      <c r="A71" t="s">
        <v>122</v>
      </c>
      <c r="B71">
        <v>260</v>
      </c>
      <c r="C71">
        <v>41.450000762939503</v>
      </c>
      <c r="D71">
        <v>41.950000762939503</v>
      </c>
      <c r="E71">
        <v>41.200000762939503</v>
      </c>
      <c r="F71">
        <v>28.763137817382798</v>
      </c>
      <c r="G71">
        <v>272</v>
      </c>
      <c r="H71" t="s">
        <v>123</v>
      </c>
      <c r="I71">
        <v>260</v>
      </c>
      <c r="J71">
        <v>24.950000762939499</v>
      </c>
      <c r="K71">
        <v>25.25</v>
      </c>
      <c r="L71">
        <v>25.409999847412099</v>
      </c>
      <c r="M71">
        <v>28.356260299682599</v>
      </c>
      <c r="N71">
        <v>95</v>
      </c>
    </row>
    <row r="72" spans="1:14" x14ac:dyDescent="0.2">
      <c r="A72" t="s">
        <v>124</v>
      </c>
      <c r="B72">
        <v>270</v>
      </c>
      <c r="C72">
        <v>36.150001525878899</v>
      </c>
      <c r="D72">
        <v>36.450000762939503</v>
      </c>
      <c r="E72">
        <v>36.400001525878899</v>
      </c>
      <c r="F72">
        <v>28.197170257568398</v>
      </c>
      <c r="G72">
        <v>68</v>
      </c>
      <c r="H72" t="s">
        <v>125</v>
      </c>
      <c r="I72">
        <v>270</v>
      </c>
      <c r="J72">
        <v>29.350000381469702</v>
      </c>
      <c r="K72">
        <v>29.700000762939499</v>
      </c>
      <c r="L72">
        <v>30.799999237060501</v>
      </c>
      <c r="M72">
        <v>27.784095764160199</v>
      </c>
      <c r="N72">
        <v>15</v>
      </c>
    </row>
    <row r="73" spans="1:14" x14ac:dyDescent="0.2">
      <c r="A73" t="s">
        <v>126</v>
      </c>
      <c r="B73">
        <v>280</v>
      </c>
      <c r="C73">
        <v>31.200000762939499</v>
      </c>
      <c r="D73">
        <v>31.5</v>
      </c>
      <c r="E73">
        <v>30.950000762939499</v>
      </c>
      <c r="F73">
        <v>27.660072326660199</v>
      </c>
      <c r="G73">
        <v>41</v>
      </c>
      <c r="H73" t="s">
        <v>127</v>
      </c>
      <c r="I73">
        <v>280</v>
      </c>
      <c r="J73">
        <v>34.25</v>
      </c>
      <c r="K73">
        <v>34.650001525878899</v>
      </c>
      <c r="L73">
        <v>34.5</v>
      </c>
      <c r="M73">
        <v>27.250026702880898</v>
      </c>
      <c r="N73">
        <v>30</v>
      </c>
    </row>
    <row r="74" spans="1:14" x14ac:dyDescent="0.2">
      <c r="A74" t="s">
        <v>128</v>
      </c>
      <c r="B74">
        <v>290</v>
      </c>
      <c r="C74">
        <v>26.75</v>
      </c>
      <c r="D74">
        <v>27.100000381469702</v>
      </c>
      <c r="E74">
        <v>26.780000686645501</v>
      </c>
      <c r="F74">
        <v>27.219810485839801</v>
      </c>
      <c r="G74">
        <v>37</v>
      </c>
      <c r="H74" t="s">
        <v>129</v>
      </c>
      <c r="I74">
        <v>290</v>
      </c>
      <c r="J74">
        <v>39.5</v>
      </c>
      <c r="K74">
        <v>40.450000762939503</v>
      </c>
      <c r="L74">
        <v>43.849998474121101</v>
      </c>
      <c r="M74">
        <v>26.770057678222699</v>
      </c>
      <c r="N74">
        <v>0</v>
      </c>
    </row>
    <row r="75" spans="1:14" x14ac:dyDescent="0.2">
      <c r="A75" s="2" t="s">
        <v>19</v>
      </c>
      <c r="B75" s="2"/>
      <c r="C75" s="2"/>
      <c r="D75" s="2"/>
      <c r="E75" s="2"/>
      <c r="F75" s="2"/>
      <c r="G75" s="2"/>
    </row>
    <row r="76" spans="1:14" x14ac:dyDescent="0.2">
      <c r="A76" t="s">
        <v>130</v>
      </c>
      <c r="B76">
        <v>255</v>
      </c>
      <c r="C76">
        <v>52.849998474121101</v>
      </c>
      <c r="D76">
        <v>54.200000762939503</v>
      </c>
      <c r="E76">
        <v>53.2700004577637</v>
      </c>
      <c r="F76">
        <v>29.6140460968018</v>
      </c>
      <c r="G76">
        <v>3</v>
      </c>
      <c r="H76" t="s">
        <v>131</v>
      </c>
      <c r="I76">
        <v>255</v>
      </c>
      <c r="J76">
        <v>27.600000381469702</v>
      </c>
      <c r="K76">
        <v>29.600000381469702</v>
      </c>
      <c r="L76">
        <v>28.579999923706101</v>
      </c>
      <c r="M76">
        <v>29.626695632934599</v>
      </c>
      <c r="N76">
        <v>418</v>
      </c>
    </row>
    <row r="77" spans="1:14" x14ac:dyDescent="0.2">
      <c r="A77" t="s">
        <v>132</v>
      </c>
      <c r="B77">
        <v>260</v>
      </c>
      <c r="C77">
        <v>50.299999237060497</v>
      </c>
      <c r="D77">
        <v>51.549999237060497</v>
      </c>
      <c r="E77">
        <v>50.200000762939503</v>
      </c>
      <c r="F77">
        <v>29.488569259643601</v>
      </c>
      <c r="G77">
        <v>52</v>
      </c>
      <c r="H77" t="s">
        <v>133</v>
      </c>
      <c r="I77">
        <v>260</v>
      </c>
      <c r="J77">
        <v>29.700000762939499</v>
      </c>
      <c r="K77">
        <v>30.75</v>
      </c>
      <c r="L77">
        <v>30.600000381469702</v>
      </c>
      <c r="M77">
        <v>28.972681045532202</v>
      </c>
      <c r="N77">
        <v>304</v>
      </c>
    </row>
    <row r="78" spans="1:14" x14ac:dyDescent="0.2">
      <c r="A78" t="s">
        <v>134</v>
      </c>
      <c r="B78">
        <v>265</v>
      </c>
      <c r="C78">
        <v>46.5</v>
      </c>
      <c r="D78">
        <v>49.25</v>
      </c>
      <c r="E78">
        <v>47.799999237060497</v>
      </c>
      <c r="F78">
        <v>28.954673767089801</v>
      </c>
      <c r="G78">
        <v>4</v>
      </c>
      <c r="H78" t="s">
        <v>135</v>
      </c>
      <c r="I78">
        <v>265</v>
      </c>
      <c r="J78">
        <v>31.5</v>
      </c>
      <c r="K78">
        <v>32.849998474121101</v>
      </c>
      <c r="L78">
        <v>32.9799995422363</v>
      </c>
      <c r="M78">
        <v>28.5951843261719</v>
      </c>
      <c r="N78">
        <v>100</v>
      </c>
    </row>
    <row r="79" spans="1:14" x14ac:dyDescent="0.2">
      <c r="A79" t="s">
        <v>136</v>
      </c>
      <c r="B79">
        <v>270</v>
      </c>
      <c r="C79">
        <v>43</v>
      </c>
      <c r="D79">
        <v>46.700000762939503</v>
      </c>
      <c r="E79">
        <v>44.349998474121101</v>
      </c>
      <c r="F79">
        <v>28.451469421386701</v>
      </c>
      <c r="G79">
        <v>4</v>
      </c>
      <c r="H79" t="s">
        <v>137</v>
      </c>
      <c r="I79">
        <v>270</v>
      </c>
      <c r="J79">
        <v>32.5</v>
      </c>
      <c r="K79">
        <v>36</v>
      </c>
      <c r="L79">
        <v>38.619998931884801</v>
      </c>
      <c r="M79">
        <v>28.0485725402832</v>
      </c>
      <c r="N79">
        <v>0</v>
      </c>
    </row>
    <row r="80" spans="1:14" x14ac:dyDescent="0.2">
      <c r="A80" t="s">
        <v>138</v>
      </c>
      <c r="B80">
        <v>275</v>
      </c>
      <c r="C80">
        <v>42.099998474121101</v>
      </c>
      <c r="D80">
        <v>43.900001525878899</v>
      </c>
      <c r="E80">
        <v>42.439998626708999</v>
      </c>
      <c r="F80">
        <v>28.626289367675799</v>
      </c>
      <c r="G80">
        <v>4</v>
      </c>
      <c r="H80" t="s">
        <v>139</v>
      </c>
      <c r="I80">
        <v>275</v>
      </c>
      <c r="J80">
        <v>36.400001525878899</v>
      </c>
      <c r="K80">
        <v>38.400001525878899</v>
      </c>
      <c r="L80">
        <v>39.909999847412102</v>
      </c>
      <c r="M80">
        <v>28.516841888427699</v>
      </c>
      <c r="N80">
        <v>0</v>
      </c>
    </row>
    <row r="81" spans="1:14" x14ac:dyDescent="0.2">
      <c r="A81" s="2" t="s">
        <v>19</v>
      </c>
      <c r="B81" s="2"/>
      <c r="C81" s="2"/>
      <c r="D81" s="2"/>
      <c r="E81" s="2"/>
      <c r="F81" s="2"/>
      <c r="G81" s="2"/>
    </row>
    <row r="82" spans="1:14" x14ac:dyDescent="0.2">
      <c r="A82" t="s">
        <v>140</v>
      </c>
      <c r="B82">
        <v>250</v>
      </c>
      <c r="C82">
        <v>57.25</v>
      </c>
      <c r="D82">
        <v>58.900001525878899</v>
      </c>
      <c r="E82">
        <v>57.799999237060497</v>
      </c>
      <c r="F82">
        <v>30.103675842285199</v>
      </c>
      <c r="G82">
        <v>16</v>
      </c>
      <c r="H82" t="s">
        <v>141</v>
      </c>
      <c r="I82">
        <v>250</v>
      </c>
      <c r="J82">
        <v>26.299999237060501</v>
      </c>
      <c r="K82">
        <v>27.399999618530298</v>
      </c>
      <c r="L82">
        <v>26.959999084472699</v>
      </c>
      <c r="M82">
        <v>29.447914123535199</v>
      </c>
      <c r="N82">
        <v>204</v>
      </c>
    </row>
    <row r="83" spans="1:14" x14ac:dyDescent="0.2">
      <c r="A83" t="s">
        <v>142</v>
      </c>
      <c r="B83">
        <v>260</v>
      </c>
      <c r="C83">
        <v>51.599998474121101</v>
      </c>
      <c r="D83">
        <v>53.400001525878899</v>
      </c>
      <c r="E83">
        <v>52</v>
      </c>
      <c r="F83">
        <v>29.563306808471701</v>
      </c>
      <c r="G83">
        <v>145</v>
      </c>
      <c r="H83" t="s">
        <v>143</v>
      </c>
      <c r="I83">
        <v>260</v>
      </c>
      <c r="J83">
        <v>30.049999237060501</v>
      </c>
      <c r="K83">
        <v>31.149999618530298</v>
      </c>
      <c r="L83">
        <v>31.149999618530298</v>
      </c>
      <c r="M83">
        <v>28.748485565185501</v>
      </c>
      <c r="N83">
        <v>46</v>
      </c>
    </row>
    <row r="84" spans="1:14" x14ac:dyDescent="0.2">
      <c r="A84" t="s">
        <v>144</v>
      </c>
      <c r="B84">
        <v>270</v>
      </c>
      <c r="C84">
        <v>46.25</v>
      </c>
      <c r="D84">
        <v>48.400001525878899</v>
      </c>
      <c r="E84">
        <v>46.830001831054702</v>
      </c>
      <c r="F84">
        <v>29.131420135498001</v>
      </c>
      <c r="G84">
        <v>29</v>
      </c>
      <c r="H84" t="s">
        <v>145</v>
      </c>
      <c r="I84">
        <v>270</v>
      </c>
      <c r="J84">
        <v>34.849998474121101</v>
      </c>
      <c r="K84">
        <v>35.900001525878899</v>
      </c>
      <c r="L84">
        <v>38.450000762939503</v>
      </c>
      <c r="M84">
        <v>28.477485656738299</v>
      </c>
      <c r="N84">
        <v>0</v>
      </c>
    </row>
    <row r="85" spans="1:14" x14ac:dyDescent="0.2">
      <c r="A85" t="s">
        <v>146</v>
      </c>
      <c r="B85">
        <v>280</v>
      </c>
      <c r="C85">
        <v>41.5</v>
      </c>
      <c r="D85">
        <v>42.650001525878899</v>
      </c>
      <c r="E85">
        <v>41.630001068115199</v>
      </c>
      <c r="F85">
        <v>28.448074340820298</v>
      </c>
      <c r="G85">
        <v>24</v>
      </c>
      <c r="H85" t="s">
        <v>147</v>
      </c>
      <c r="I85">
        <v>280</v>
      </c>
      <c r="J85">
        <v>39.650001525878899</v>
      </c>
      <c r="K85">
        <v>40.599998474121101</v>
      </c>
      <c r="L85">
        <v>42.5</v>
      </c>
      <c r="M85">
        <v>27.9340419769287</v>
      </c>
      <c r="N85">
        <v>1</v>
      </c>
    </row>
    <row r="86" spans="1:14" x14ac:dyDescent="0.2">
      <c r="A86" t="s">
        <v>148</v>
      </c>
      <c r="B86">
        <v>290</v>
      </c>
      <c r="C86">
        <v>37.299999237060497</v>
      </c>
      <c r="D86">
        <v>38.700000762939503</v>
      </c>
      <c r="E86">
        <v>37.529998779296903</v>
      </c>
      <c r="F86">
        <v>28.320144653320298</v>
      </c>
      <c r="G86">
        <v>39</v>
      </c>
      <c r="H86" t="s">
        <v>149</v>
      </c>
      <c r="I86">
        <v>290</v>
      </c>
      <c r="J86">
        <v>44.799999237060497</v>
      </c>
      <c r="K86">
        <v>46.049999237060497</v>
      </c>
      <c r="L86">
        <v>45.470001220703097</v>
      </c>
      <c r="M86">
        <v>27.472377777099599</v>
      </c>
      <c r="N86">
        <v>3</v>
      </c>
    </row>
    <row r="87" spans="1:14" x14ac:dyDescent="0.2">
      <c r="A87" s="2" t="s">
        <v>19</v>
      </c>
      <c r="B87" s="2"/>
      <c r="C87" s="2"/>
      <c r="D87" s="2"/>
      <c r="E87" s="2"/>
      <c r="F87" s="2"/>
      <c r="G87" s="2"/>
    </row>
    <row r="88" spans="1:14" x14ac:dyDescent="0.2">
      <c r="A88" t="s">
        <v>150</v>
      </c>
      <c r="B88">
        <v>250</v>
      </c>
      <c r="C88">
        <v>57.599998474121101</v>
      </c>
      <c r="D88">
        <v>61.900001525878899</v>
      </c>
      <c r="E88">
        <v>59.099998474121101</v>
      </c>
      <c r="F88">
        <v>29.687871932983398</v>
      </c>
      <c r="G88">
        <v>1</v>
      </c>
      <c r="H88" t="s">
        <v>151</v>
      </c>
      <c r="I88">
        <v>250</v>
      </c>
      <c r="J88">
        <v>27.649999618530298</v>
      </c>
      <c r="K88">
        <v>28.799999237060501</v>
      </c>
      <c r="L88">
        <v>28.799999237060501</v>
      </c>
      <c r="M88">
        <v>29.596925735473601</v>
      </c>
      <c r="N88">
        <v>1</v>
      </c>
    </row>
    <row r="89" spans="1:14" x14ac:dyDescent="0.2">
      <c r="A89" t="s">
        <v>152</v>
      </c>
      <c r="B89">
        <v>260</v>
      </c>
      <c r="C89">
        <v>53.950000762939503</v>
      </c>
      <c r="D89">
        <v>56</v>
      </c>
      <c r="E89">
        <v>55</v>
      </c>
      <c r="F89">
        <v>29.786199569702099</v>
      </c>
      <c r="G89">
        <v>25</v>
      </c>
      <c r="H89" t="s">
        <v>153</v>
      </c>
      <c r="I89">
        <v>260</v>
      </c>
      <c r="J89">
        <v>31.600000381469702</v>
      </c>
      <c r="K89">
        <v>33.25</v>
      </c>
      <c r="L89">
        <v>32.650001525878899</v>
      </c>
      <c r="M89">
        <v>29.206403732299801</v>
      </c>
      <c r="N89">
        <v>107</v>
      </c>
    </row>
    <row r="90" spans="1:14" x14ac:dyDescent="0.2">
      <c r="A90" t="s">
        <v>154</v>
      </c>
      <c r="B90">
        <v>270</v>
      </c>
      <c r="C90">
        <v>48.849998474121101</v>
      </c>
      <c r="D90">
        <v>50</v>
      </c>
      <c r="E90">
        <v>48.509998321533203</v>
      </c>
      <c r="F90">
        <v>29.0400485992432</v>
      </c>
      <c r="G90">
        <v>20</v>
      </c>
      <c r="H90" t="s">
        <v>155</v>
      </c>
      <c r="I90">
        <v>270</v>
      </c>
      <c r="J90">
        <v>35.950000762939503</v>
      </c>
      <c r="K90">
        <v>39</v>
      </c>
      <c r="L90">
        <v>39.700000762939503</v>
      </c>
      <c r="M90">
        <v>29.154170989990199</v>
      </c>
      <c r="N90">
        <v>0</v>
      </c>
    </row>
    <row r="91" spans="1:14" x14ac:dyDescent="0.2">
      <c r="A91" t="s">
        <v>156</v>
      </c>
      <c r="B91">
        <v>280</v>
      </c>
      <c r="C91">
        <v>44.049999237060497</v>
      </c>
      <c r="D91">
        <v>45.650001525878899</v>
      </c>
      <c r="E91">
        <v>44</v>
      </c>
      <c r="F91">
        <v>28.810562133789102</v>
      </c>
      <c r="G91">
        <v>14</v>
      </c>
      <c r="H91" t="s">
        <v>157</v>
      </c>
      <c r="I91">
        <v>280</v>
      </c>
      <c r="J91">
        <v>40.849998474121101</v>
      </c>
      <c r="K91">
        <v>44</v>
      </c>
      <c r="L91">
        <v>44.299999237060497</v>
      </c>
      <c r="M91">
        <v>28.740932464599599</v>
      </c>
      <c r="N91">
        <v>0</v>
      </c>
    </row>
    <row r="92" spans="1:14" x14ac:dyDescent="0.2">
      <c r="A92" t="s">
        <v>158</v>
      </c>
      <c r="B92">
        <v>290</v>
      </c>
      <c r="C92">
        <v>38.700000762939503</v>
      </c>
      <c r="D92">
        <v>41.700000762939503</v>
      </c>
      <c r="E92">
        <v>35.400001525878899</v>
      </c>
      <c r="F92">
        <v>28.403541564941399</v>
      </c>
      <c r="G92">
        <v>0</v>
      </c>
      <c r="H92" t="s">
        <v>159</v>
      </c>
      <c r="I92">
        <v>290</v>
      </c>
      <c r="J92">
        <v>44.5</v>
      </c>
      <c r="K92">
        <v>49.5</v>
      </c>
      <c r="L92">
        <v>50.700000762939503</v>
      </c>
      <c r="M92">
        <v>27.801942825317401</v>
      </c>
      <c r="N92">
        <v>0</v>
      </c>
    </row>
  </sheetData>
  <mergeCells count="16">
    <mergeCell ref="A1:G1"/>
    <mergeCell ref="A3:G3"/>
    <mergeCell ref="A9:G9"/>
    <mergeCell ref="A15:G15"/>
    <mergeCell ref="A21:G21"/>
    <mergeCell ref="A27:G27"/>
    <mergeCell ref="A33:G33"/>
    <mergeCell ref="A39:G39"/>
    <mergeCell ref="A45:G45"/>
    <mergeCell ref="A51:G51"/>
    <mergeCell ref="A87:G87"/>
    <mergeCell ref="A57:G57"/>
    <mergeCell ref="A63:G63"/>
    <mergeCell ref="A69:G69"/>
    <mergeCell ref="A75:G75"/>
    <mergeCell ref="A81:G8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3495E-5666-2849-881B-81647E813EBB}">
  <dimension ref="A1:H76"/>
  <sheetViews>
    <sheetView tabSelected="1" topLeftCell="A53" zoomScale="130" zoomScaleNormal="130" workbookViewId="0">
      <selection activeCell="B36" sqref="B36"/>
    </sheetView>
  </sheetViews>
  <sheetFormatPr baseColWidth="10" defaultRowHeight="15" x14ac:dyDescent="0.2"/>
  <cols>
    <col min="1" max="1" width="17.6640625" bestFit="1" customWidth="1"/>
    <col min="2" max="2" width="23.83203125" customWidth="1"/>
  </cols>
  <sheetData>
    <row r="1" spans="1:8" x14ac:dyDescent="0.2">
      <c r="A1" s="1" t="s">
        <v>1</v>
      </c>
      <c r="B1" s="1" t="s">
        <v>160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9</v>
      </c>
      <c r="B2" s="1" t="str">
        <f t="shared" ref="B2:B31" si="0">RIGHT(LEFT(A2,13),8)</f>
        <v xml:space="preserve">4/17/26 </v>
      </c>
      <c r="C2" s="1">
        <v>262.5</v>
      </c>
      <c r="D2" s="1">
        <v>4.75</v>
      </c>
      <c r="E2" s="1">
        <v>4.9499998090000004</v>
      </c>
      <c r="F2" s="1">
        <v>4.9000000950000002</v>
      </c>
      <c r="G2" s="1">
        <v>24.94936371</v>
      </c>
      <c r="H2" s="1">
        <v>40775</v>
      </c>
    </row>
    <row r="3" spans="1:8" x14ac:dyDescent="0.2">
      <c r="A3" s="1" t="s">
        <v>11</v>
      </c>
      <c r="B3" s="1" t="str">
        <f t="shared" si="0"/>
        <v xml:space="preserve">4/17/26 </v>
      </c>
      <c r="C3" s="1">
        <v>265</v>
      </c>
      <c r="D3" s="1">
        <v>3.0999999049999998</v>
      </c>
      <c r="E3" s="1">
        <v>3.2000000480000002</v>
      </c>
      <c r="F3" s="1">
        <v>3.1500000950000002</v>
      </c>
      <c r="G3" s="1">
        <v>25.267597200000001</v>
      </c>
      <c r="H3" s="1">
        <v>61919</v>
      </c>
    </row>
    <row r="4" spans="1:8" x14ac:dyDescent="0.2">
      <c r="A4" s="1" t="s">
        <v>13</v>
      </c>
      <c r="B4" s="1" t="str">
        <f t="shared" si="0"/>
        <v xml:space="preserve">4/17/26 </v>
      </c>
      <c r="C4" s="1">
        <v>267.5</v>
      </c>
      <c r="D4" s="1">
        <v>1.8200000519999999</v>
      </c>
      <c r="E4" s="1">
        <v>1.8999999759999999</v>
      </c>
      <c r="F4" s="1">
        <v>1.8400000329999999</v>
      </c>
      <c r="G4" s="1">
        <v>24.65519905</v>
      </c>
      <c r="H4" s="1">
        <v>51121</v>
      </c>
    </row>
    <row r="5" spans="1:8" x14ac:dyDescent="0.2">
      <c r="A5" s="1" t="s">
        <v>15</v>
      </c>
      <c r="B5" s="1" t="str">
        <f t="shared" si="0"/>
        <v xml:space="preserve">4/17/26 </v>
      </c>
      <c r="C5" s="1">
        <v>270</v>
      </c>
      <c r="D5" s="1">
        <v>0.97000002900000004</v>
      </c>
      <c r="E5" s="1">
        <v>1</v>
      </c>
      <c r="F5" s="1">
        <v>0.99000001000000004</v>
      </c>
      <c r="G5" s="1">
        <v>24.547458649999999</v>
      </c>
      <c r="H5" s="1">
        <v>69847</v>
      </c>
    </row>
    <row r="6" spans="1:8" x14ac:dyDescent="0.2">
      <c r="A6" s="1" t="s">
        <v>17</v>
      </c>
      <c r="B6" s="1" t="str">
        <f t="shared" si="0"/>
        <v xml:space="preserve">4/17/26 </v>
      </c>
      <c r="C6" s="1">
        <v>272.5</v>
      </c>
      <c r="D6" s="1">
        <v>0.469999999</v>
      </c>
      <c r="E6" s="1">
        <v>0.49000000999999999</v>
      </c>
      <c r="F6" s="1">
        <v>0.47999998900000002</v>
      </c>
      <c r="G6" s="1">
        <v>24.75857925</v>
      </c>
      <c r="H6" s="1">
        <v>33822</v>
      </c>
    </row>
    <row r="7" spans="1:8" x14ac:dyDescent="0.2">
      <c r="A7" s="1" t="s">
        <v>20</v>
      </c>
      <c r="B7" s="1" t="str">
        <f t="shared" si="0"/>
        <v xml:space="preserve">5/15/26 </v>
      </c>
      <c r="C7" s="1">
        <v>255</v>
      </c>
      <c r="D7" s="1">
        <v>16.299999239999998</v>
      </c>
      <c r="E7" s="1">
        <v>16.649999619999999</v>
      </c>
      <c r="F7" s="1">
        <v>16.5</v>
      </c>
      <c r="G7" s="1">
        <v>29.879756929999999</v>
      </c>
      <c r="H7" s="1">
        <v>879</v>
      </c>
    </row>
    <row r="8" spans="1:8" x14ac:dyDescent="0.2">
      <c r="A8" s="1" t="s">
        <v>22</v>
      </c>
      <c r="B8" s="1" t="str">
        <f t="shared" si="0"/>
        <v xml:space="preserve">5/15/26 </v>
      </c>
      <c r="C8" s="1">
        <v>260</v>
      </c>
      <c r="D8" s="1">
        <v>12.899999619999999</v>
      </c>
      <c r="E8" s="1">
        <v>13.100000380000001</v>
      </c>
      <c r="F8" s="1">
        <v>13.02000046</v>
      </c>
      <c r="G8" s="1">
        <v>29.023738860000002</v>
      </c>
      <c r="H8" s="1">
        <v>24323</v>
      </c>
    </row>
    <row r="9" spans="1:8" x14ac:dyDescent="0.2">
      <c r="A9" s="1" t="s">
        <v>24</v>
      </c>
      <c r="B9" s="1" t="str">
        <f t="shared" si="0"/>
        <v xml:space="preserve">5/15/26 </v>
      </c>
      <c r="C9" s="1">
        <v>265</v>
      </c>
      <c r="D9" s="1">
        <v>9.9499998089999995</v>
      </c>
      <c r="E9" s="1">
        <v>10.05000019</v>
      </c>
      <c r="F9" s="1">
        <v>10.06999969</v>
      </c>
      <c r="G9" s="1">
        <v>28.450420380000001</v>
      </c>
      <c r="H9" s="1">
        <v>4710</v>
      </c>
    </row>
    <row r="10" spans="1:8" x14ac:dyDescent="0.2">
      <c r="A10" s="1" t="s">
        <v>26</v>
      </c>
      <c r="B10" s="1" t="str">
        <f t="shared" si="0"/>
        <v xml:space="preserve">5/15/26 </v>
      </c>
      <c r="C10" s="1">
        <v>270</v>
      </c>
      <c r="D10" s="1">
        <v>7.4000000950000002</v>
      </c>
      <c r="E10" s="1">
        <v>7.5500001909999996</v>
      </c>
      <c r="F10" s="1">
        <v>7.5100002290000001</v>
      </c>
      <c r="G10" s="1">
        <v>28.076894759999998</v>
      </c>
      <c r="H10" s="1">
        <v>12298</v>
      </c>
    </row>
    <row r="11" spans="1:8" x14ac:dyDescent="0.2">
      <c r="A11" s="1" t="s">
        <v>28</v>
      </c>
      <c r="B11" s="1" t="str">
        <f t="shared" si="0"/>
        <v xml:space="preserve">5/15/26 </v>
      </c>
      <c r="C11" s="1">
        <v>275</v>
      </c>
      <c r="D11" s="1">
        <v>5.4000000950000002</v>
      </c>
      <c r="E11" s="1">
        <v>5.5</v>
      </c>
      <c r="F11" s="1">
        <v>5.5500001909999996</v>
      </c>
      <c r="G11" s="1">
        <v>27.785007480000001</v>
      </c>
      <c r="H11" s="1">
        <v>7878</v>
      </c>
    </row>
    <row r="12" spans="1:8" x14ac:dyDescent="0.2">
      <c r="A12" s="1" t="s">
        <v>30</v>
      </c>
      <c r="B12" s="1" t="str">
        <f t="shared" si="0"/>
        <v xml:space="preserve">6/18/26 </v>
      </c>
      <c r="C12" s="1">
        <v>255</v>
      </c>
      <c r="D12" s="1">
        <v>19.950000760000002</v>
      </c>
      <c r="E12" s="1">
        <v>20.350000380000001</v>
      </c>
      <c r="F12" s="1">
        <v>20.200000760000002</v>
      </c>
      <c r="G12" s="1">
        <v>28.87561226</v>
      </c>
      <c r="H12" s="1">
        <v>279</v>
      </c>
    </row>
    <row r="13" spans="1:8" x14ac:dyDescent="0.2">
      <c r="A13" s="1" t="s">
        <v>32</v>
      </c>
      <c r="B13" s="1" t="str">
        <f t="shared" si="0"/>
        <v xml:space="preserve">6/18/26 </v>
      </c>
      <c r="C13" s="1">
        <v>260</v>
      </c>
      <c r="D13" s="1">
        <v>16.700000760000002</v>
      </c>
      <c r="E13" s="1">
        <v>17.049999239999998</v>
      </c>
      <c r="F13" s="1">
        <v>16.899999619999999</v>
      </c>
      <c r="G13" s="1">
        <v>28.347023010000001</v>
      </c>
      <c r="H13" s="1">
        <v>2089</v>
      </c>
    </row>
    <row r="14" spans="1:8" x14ac:dyDescent="0.2">
      <c r="A14" s="1" t="s">
        <v>34</v>
      </c>
      <c r="B14" s="1" t="str">
        <f t="shared" si="0"/>
        <v xml:space="preserve">6/18/26 </v>
      </c>
      <c r="C14" s="1">
        <v>265</v>
      </c>
      <c r="D14" s="1">
        <v>13.69999981</v>
      </c>
      <c r="E14" s="1">
        <v>13.94999981</v>
      </c>
      <c r="F14" s="1">
        <v>13.850000380000001</v>
      </c>
      <c r="G14" s="1">
        <v>27.482093809999999</v>
      </c>
      <c r="H14" s="1">
        <v>1009</v>
      </c>
    </row>
    <row r="15" spans="1:8" x14ac:dyDescent="0.2">
      <c r="A15" s="1" t="s">
        <v>36</v>
      </c>
      <c r="B15" s="1" t="str">
        <f t="shared" si="0"/>
        <v xml:space="preserve">6/18/26 </v>
      </c>
      <c r="C15" s="1">
        <v>270</v>
      </c>
      <c r="D15" s="1">
        <v>11.149999619999999</v>
      </c>
      <c r="E15" s="1">
        <v>11.399999619999999</v>
      </c>
      <c r="F15" s="1">
        <v>11.399999619999999</v>
      </c>
      <c r="G15" s="1">
        <v>27.254724499999998</v>
      </c>
      <c r="H15" s="1">
        <v>3385</v>
      </c>
    </row>
    <row r="16" spans="1:8" x14ac:dyDescent="0.2">
      <c r="A16" s="1" t="s">
        <v>38</v>
      </c>
      <c r="B16" s="1" t="str">
        <f t="shared" si="0"/>
        <v xml:space="preserve">6/18/26 </v>
      </c>
      <c r="C16" s="1">
        <v>275</v>
      </c>
      <c r="D16" s="1">
        <v>8.8999996190000008</v>
      </c>
      <c r="E16" s="1">
        <v>9.1000003809999992</v>
      </c>
      <c r="F16" s="1">
        <v>9.0500001910000005</v>
      </c>
      <c r="G16" s="1">
        <v>26.733860020000002</v>
      </c>
      <c r="H16" s="1">
        <v>1639</v>
      </c>
    </row>
    <row r="17" spans="1:8" x14ac:dyDescent="0.2">
      <c r="A17" s="1" t="s">
        <v>40</v>
      </c>
      <c r="B17" s="1" t="str">
        <f t="shared" si="0"/>
        <v xml:space="preserve">7/17/26 </v>
      </c>
      <c r="C17" s="1">
        <v>255</v>
      </c>
      <c r="D17" s="1">
        <v>22.399999619999999</v>
      </c>
      <c r="E17" s="1">
        <v>22.799999239999998</v>
      </c>
      <c r="F17" s="1">
        <v>22.649999619999999</v>
      </c>
      <c r="G17" s="1">
        <v>28.394052510000002</v>
      </c>
      <c r="H17" s="1">
        <v>83</v>
      </c>
    </row>
    <row r="18" spans="1:8" x14ac:dyDescent="0.2">
      <c r="A18" s="1" t="s">
        <v>42</v>
      </c>
      <c r="B18" s="1" t="str">
        <f t="shared" si="0"/>
        <v xml:space="preserve">7/17/26 </v>
      </c>
      <c r="C18" s="1">
        <v>260</v>
      </c>
      <c r="D18" s="1">
        <v>19.149999619999999</v>
      </c>
      <c r="E18" s="1">
        <v>19.5</v>
      </c>
      <c r="F18" s="1">
        <v>19.340000150000002</v>
      </c>
      <c r="G18" s="1">
        <v>27.632402419999998</v>
      </c>
      <c r="H18" s="1">
        <v>3224</v>
      </c>
    </row>
    <row r="19" spans="1:8" x14ac:dyDescent="0.2">
      <c r="A19" s="1" t="s">
        <v>44</v>
      </c>
      <c r="B19" s="1" t="str">
        <f t="shared" si="0"/>
        <v xml:space="preserve">7/17/26 </v>
      </c>
      <c r="C19" s="1">
        <v>265</v>
      </c>
      <c r="D19" s="1">
        <v>16.299999239999998</v>
      </c>
      <c r="E19" s="1">
        <v>16.549999239999998</v>
      </c>
      <c r="F19" s="1">
        <v>16.299999239999998</v>
      </c>
      <c r="G19" s="1">
        <v>27.288309099999999</v>
      </c>
      <c r="H19" s="1">
        <v>855</v>
      </c>
    </row>
    <row r="20" spans="1:8" x14ac:dyDescent="0.2">
      <c r="A20" s="1" t="s">
        <v>46</v>
      </c>
      <c r="B20" s="1" t="str">
        <f t="shared" si="0"/>
        <v xml:space="preserve">7/17/26 </v>
      </c>
      <c r="C20" s="1">
        <v>270</v>
      </c>
      <c r="D20" s="1">
        <v>13.600000380000001</v>
      </c>
      <c r="E20" s="1">
        <v>13.80000019</v>
      </c>
      <c r="F20" s="1">
        <v>13.72000027</v>
      </c>
      <c r="G20" s="1">
        <v>26.69875145</v>
      </c>
      <c r="H20" s="1">
        <v>894</v>
      </c>
    </row>
    <row r="21" spans="1:8" x14ac:dyDescent="0.2">
      <c r="A21" s="1" t="s">
        <v>48</v>
      </c>
      <c r="B21" s="1" t="str">
        <f t="shared" si="0"/>
        <v xml:space="preserve">7/17/26 </v>
      </c>
      <c r="C21" s="1">
        <v>275</v>
      </c>
      <c r="D21" s="1">
        <v>11.25</v>
      </c>
      <c r="E21" s="1">
        <v>11.399999619999999</v>
      </c>
      <c r="F21" s="1">
        <v>11.31999969</v>
      </c>
      <c r="G21" s="1">
        <v>26.200546259999999</v>
      </c>
      <c r="H21" s="1">
        <v>326</v>
      </c>
    </row>
    <row r="22" spans="1:8" x14ac:dyDescent="0.2">
      <c r="A22" s="1" t="s">
        <v>50</v>
      </c>
      <c r="B22" s="1" t="str">
        <f t="shared" si="0"/>
        <v xml:space="preserve">8/21/26 </v>
      </c>
      <c r="C22" s="1">
        <v>255</v>
      </c>
      <c r="D22" s="1">
        <v>25.700000760000002</v>
      </c>
      <c r="E22" s="1">
        <v>26.149999619999999</v>
      </c>
      <c r="F22" s="1">
        <v>25.649999619999999</v>
      </c>
      <c r="G22" s="1">
        <v>28.84477425</v>
      </c>
      <c r="H22" s="1">
        <v>109</v>
      </c>
    </row>
    <row r="23" spans="1:8" x14ac:dyDescent="0.2">
      <c r="A23" s="1" t="s">
        <v>52</v>
      </c>
      <c r="B23" s="1" t="str">
        <f t="shared" si="0"/>
        <v xml:space="preserve">8/21/26 </v>
      </c>
      <c r="C23" s="1">
        <v>260</v>
      </c>
      <c r="D23" s="1">
        <v>22.549999239999998</v>
      </c>
      <c r="E23" s="1">
        <v>22.950000760000002</v>
      </c>
      <c r="F23" s="1">
        <v>23</v>
      </c>
      <c r="G23" s="1">
        <v>28.34717178</v>
      </c>
      <c r="H23" s="1">
        <v>322</v>
      </c>
    </row>
    <row r="24" spans="1:8" x14ac:dyDescent="0.2">
      <c r="A24" s="1" t="s">
        <v>54</v>
      </c>
      <c r="B24" s="1" t="str">
        <f t="shared" si="0"/>
        <v xml:space="preserve">8/21/26 </v>
      </c>
      <c r="C24" s="1">
        <v>265</v>
      </c>
      <c r="D24" s="1">
        <v>19.700000760000002</v>
      </c>
      <c r="E24" s="1">
        <v>20</v>
      </c>
      <c r="F24" s="1">
        <v>19.86000061</v>
      </c>
      <c r="G24" s="1">
        <v>27.827791210000001</v>
      </c>
      <c r="H24" s="1">
        <v>669</v>
      </c>
    </row>
    <row r="25" spans="1:8" x14ac:dyDescent="0.2">
      <c r="A25" s="1" t="s">
        <v>56</v>
      </c>
      <c r="B25" s="1" t="str">
        <f t="shared" si="0"/>
        <v xml:space="preserve">8/21/26 </v>
      </c>
      <c r="C25" s="1">
        <v>270</v>
      </c>
      <c r="D25" s="1">
        <v>17.049999239999998</v>
      </c>
      <c r="E25" s="1">
        <v>17.299999239999998</v>
      </c>
      <c r="F25" s="1">
        <v>17.229999540000001</v>
      </c>
      <c r="G25" s="1">
        <v>27.4002552</v>
      </c>
      <c r="H25" s="1">
        <v>612</v>
      </c>
    </row>
    <row r="26" spans="1:8" x14ac:dyDescent="0.2">
      <c r="A26" s="1" t="s">
        <v>58</v>
      </c>
      <c r="B26" s="1" t="str">
        <f t="shared" si="0"/>
        <v xml:space="preserve">8/21/26 </v>
      </c>
      <c r="C26" s="1">
        <v>275</v>
      </c>
      <c r="D26" s="1">
        <v>14.600000380000001</v>
      </c>
      <c r="E26" s="1">
        <v>14.80000019</v>
      </c>
      <c r="F26" s="1">
        <v>14.80000019</v>
      </c>
      <c r="G26" s="1">
        <v>26.997138979999999</v>
      </c>
      <c r="H26" s="1">
        <v>66</v>
      </c>
    </row>
    <row r="27" spans="1:8" x14ac:dyDescent="0.2">
      <c r="A27" s="1" t="s">
        <v>60</v>
      </c>
      <c r="B27" s="1" t="str">
        <f t="shared" si="0"/>
        <v xml:space="preserve">9/18/26 </v>
      </c>
      <c r="C27" s="1">
        <v>255</v>
      </c>
      <c r="D27" s="1">
        <v>27.850000380000001</v>
      </c>
      <c r="E27" s="1">
        <v>28.25</v>
      </c>
      <c r="F27" s="1">
        <v>27.75</v>
      </c>
      <c r="G27" s="1">
        <v>28.849674220000001</v>
      </c>
      <c r="H27" s="1">
        <v>49</v>
      </c>
    </row>
    <row r="28" spans="1:8" x14ac:dyDescent="0.2">
      <c r="A28" s="1" t="s">
        <v>62</v>
      </c>
      <c r="B28" s="1" t="str">
        <f t="shared" si="0"/>
        <v xml:space="preserve">9/18/26 </v>
      </c>
      <c r="C28" s="1">
        <v>260</v>
      </c>
      <c r="D28" s="1">
        <v>24.75</v>
      </c>
      <c r="E28" s="1">
        <v>25.200000760000002</v>
      </c>
      <c r="F28" s="1">
        <v>25</v>
      </c>
      <c r="G28" s="1">
        <v>28.46269989</v>
      </c>
      <c r="H28" s="1">
        <v>272</v>
      </c>
    </row>
    <row r="29" spans="1:8" x14ac:dyDescent="0.2">
      <c r="A29" s="1" t="s">
        <v>64</v>
      </c>
      <c r="B29" s="1" t="str">
        <f t="shared" si="0"/>
        <v xml:space="preserve">9/18/26 </v>
      </c>
      <c r="C29" s="1">
        <v>265</v>
      </c>
      <c r="D29" s="1">
        <v>21.850000380000001</v>
      </c>
      <c r="E29" s="1">
        <v>22.149999619999999</v>
      </c>
      <c r="F29" s="1">
        <v>21.870000839999999</v>
      </c>
      <c r="G29" s="1">
        <v>27.860416409999999</v>
      </c>
      <c r="H29" s="1">
        <v>235</v>
      </c>
    </row>
    <row r="30" spans="1:8" x14ac:dyDescent="0.2">
      <c r="A30" s="1" t="s">
        <v>66</v>
      </c>
      <c r="B30" s="1" t="str">
        <f t="shared" si="0"/>
        <v xml:space="preserve">9/18/26 </v>
      </c>
      <c r="C30" s="1">
        <v>270</v>
      </c>
      <c r="D30" s="1">
        <v>19.149999619999999</v>
      </c>
      <c r="E30" s="1">
        <v>19.350000380000001</v>
      </c>
      <c r="F30" s="1">
        <v>19.25</v>
      </c>
      <c r="G30" s="1">
        <v>27.359527589999999</v>
      </c>
      <c r="H30" s="1">
        <v>185</v>
      </c>
    </row>
    <row r="31" spans="1:8" x14ac:dyDescent="0.2">
      <c r="A31" s="1" t="s">
        <v>68</v>
      </c>
      <c r="B31" s="1" t="str">
        <f t="shared" si="0"/>
        <v xml:space="preserve">9/18/26 </v>
      </c>
      <c r="C31" s="1">
        <v>275</v>
      </c>
      <c r="D31" s="1">
        <v>16.700000760000002</v>
      </c>
      <c r="E31" s="1">
        <v>16.899999619999999</v>
      </c>
      <c r="F31" s="1">
        <v>16.700000760000002</v>
      </c>
      <c r="G31" s="1">
        <v>27.06323433</v>
      </c>
      <c r="H31" s="1">
        <v>155</v>
      </c>
    </row>
    <row r="32" spans="1:8" x14ac:dyDescent="0.2">
      <c r="A32" s="1" t="s">
        <v>70</v>
      </c>
      <c r="B32" s="1" t="str">
        <f>RIGHT(LEFT(A32,13),8)</f>
        <v>10/16/26</v>
      </c>
      <c r="C32" s="1">
        <v>255</v>
      </c>
      <c r="D32" s="1">
        <v>29.350000380000001</v>
      </c>
      <c r="E32" s="1">
        <v>30.75</v>
      </c>
      <c r="F32" s="1">
        <v>30</v>
      </c>
      <c r="G32" s="1">
        <v>28.444477079999999</v>
      </c>
      <c r="H32" s="1">
        <v>10</v>
      </c>
    </row>
    <row r="33" spans="1:8" x14ac:dyDescent="0.2">
      <c r="A33" s="1" t="s">
        <v>72</v>
      </c>
      <c r="B33" s="1" t="str">
        <f t="shared" ref="B33:B76" si="1">RIGHT(LEFT(A33,13),8)</f>
        <v>10/16/26</v>
      </c>
      <c r="C33" s="1">
        <v>260</v>
      </c>
      <c r="D33" s="1">
        <v>26.75</v>
      </c>
      <c r="E33" s="1">
        <v>27.25</v>
      </c>
      <c r="F33" s="1">
        <v>27</v>
      </c>
      <c r="G33" s="1">
        <v>28.030759809999999</v>
      </c>
      <c r="H33" s="1">
        <v>242</v>
      </c>
    </row>
    <row r="34" spans="1:8" x14ac:dyDescent="0.2">
      <c r="A34" s="1" t="s">
        <v>74</v>
      </c>
      <c r="B34" s="1" t="str">
        <f t="shared" si="1"/>
        <v>10/16/26</v>
      </c>
      <c r="C34" s="1">
        <v>265</v>
      </c>
      <c r="D34" s="1">
        <v>23.899999619999999</v>
      </c>
      <c r="E34" s="1">
        <v>24.25</v>
      </c>
      <c r="F34" s="1">
        <v>23.770000459999999</v>
      </c>
      <c r="G34" s="1">
        <v>27.52192879</v>
      </c>
      <c r="H34" s="1">
        <v>174</v>
      </c>
    </row>
    <row r="35" spans="1:8" x14ac:dyDescent="0.2">
      <c r="A35" s="1" t="s">
        <v>76</v>
      </c>
      <c r="B35" s="1" t="str">
        <f t="shared" si="1"/>
        <v>10/16/26</v>
      </c>
      <c r="C35" s="1">
        <v>270</v>
      </c>
      <c r="D35" s="1">
        <v>21.200000760000002</v>
      </c>
      <c r="E35" s="1">
        <v>21.5</v>
      </c>
      <c r="F35" s="1">
        <v>21.399999619999999</v>
      </c>
      <c r="G35" s="1">
        <v>27.093091959999999</v>
      </c>
      <c r="H35" s="1">
        <v>330</v>
      </c>
    </row>
    <row r="36" spans="1:8" x14ac:dyDescent="0.2">
      <c r="A36" s="1" t="s">
        <v>78</v>
      </c>
      <c r="B36" s="1" t="str">
        <f t="shared" si="1"/>
        <v>10/16/26</v>
      </c>
      <c r="C36" s="1">
        <v>275</v>
      </c>
      <c r="D36" s="1">
        <v>18.700000760000002</v>
      </c>
      <c r="E36" s="1">
        <v>19.049999239999998</v>
      </c>
      <c r="F36" s="1">
        <v>18.5</v>
      </c>
      <c r="G36" s="1">
        <v>26.75932693</v>
      </c>
      <c r="H36" s="1">
        <v>231</v>
      </c>
    </row>
    <row r="37" spans="1:8" x14ac:dyDescent="0.2">
      <c r="A37" s="1" t="s">
        <v>80</v>
      </c>
      <c r="B37" s="1" t="str">
        <f t="shared" si="1"/>
        <v>11/20/26</v>
      </c>
      <c r="C37" s="1">
        <v>255</v>
      </c>
      <c r="D37" s="1">
        <v>31.899999619999999</v>
      </c>
      <c r="E37" s="1">
        <v>32.900001529999997</v>
      </c>
      <c r="F37" s="1">
        <v>32.150001529999997</v>
      </c>
      <c r="G37" s="1">
        <v>28.420295719999999</v>
      </c>
      <c r="H37" s="1">
        <v>104</v>
      </c>
    </row>
    <row r="38" spans="1:8" x14ac:dyDescent="0.2">
      <c r="A38" s="1" t="s">
        <v>82</v>
      </c>
      <c r="B38" s="1" t="str">
        <f t="shared" si="1"/>
        <v>11/20/26</v>
      </c>
      <c r="C38" s="1">
        <v>260</v>
      </c>
      <c r="D38" s="1">
        <v>28.799999239999998</v>
      </c>
      <c r="E38" s="1">
        <v>30.200000760000002</v>
      </c>
      <c r="F38" s="1">
        <v>29.049999239999998</v>
      </c>
      <c r="G38" s="1">
        <v>28.183795929999999</v>
      </c>
      <c r="H38" s="1">
        <v>75</v>
      </c>
    </row>
    <row r="39" spans="1:8" x14ac:dyDescent="0.2">
      <c r="A39" s="1" t="s">
        <v>84</v>
      </c>
      <c r="B39" s="1" t="str">
        <f t="shared" si="1"/>
        <v>11/20/26</v>
      </c>
      <c r="C39" s="1">
        <v>265</v>
      </c>
      <c r="D39" s="1">
        <v>26.25</v>
      </c>
      <c r="E39" s="1">
        <v>27.200000760000002</v>
      </c>
      <c r="F39" s="1">
        <v>26.270000459999999</v>
      </c>
      <c r="G39" s="1">
        <v>27.906593319999999</v>
      </c>
      <c r="H39" s="1">
        <v>18</v>
      </c>
    </row>
    <row r="40" spans="1:8" x14ac:dyDescent="0.2">
      <c r="A40" s="1" t="s">
        <v>86</v>
      </c>
      <c r="B40" s="1" t="str">
        <f t="shared" si="1"/>
        <v>11/20/26</v>
      </c>
      <c r="C40" s="1">
        <v>270</v>
      </c>
      <c r="D40" s="1">
        <v>23.799999239999998</v>
      </c>
      <c r="E40" s="1">
        <v>24.25</v>
      </c>
      <c r="F40" s="1">
        <v>23.600000380000001</v>
      </c>
      <c r="G40" s="1">
        <v>27.529031750000001</v>
      </c>
      <c r="H40" s="1">
        <v>145</v>
      </c>
    </row>
    <row r="41" spans="1:8" x14ac:dyDescent="0.2">
      <c r="A41" s="1" t="s">
        <v>88</v>
      </c>
      <c r="B41" s="1" t="str">
        <f t="shared" si="1"/>
        <v>11/20/26</v>
      </c>
      <c r="C41" s="1">
        <v>275</v>
      </c>
      <c r="D41" s="1">
        <v>21.200000760000002</v>
      </c>
      <c r="E41" s="1">
        <v>21.899999619999999</v>
      </c>
      <c r="F41" s="1">
        <v>21.5</v>
      </c>
      <c r="G41" s="1">
        <v>27.231414789999999</v>
      </c>
      <c r="H41" s="1">
        <v>16</v>
      </c>
    </row>
    <row r="42" spans="1:8" x14ac:dyDescent="0.2">
      <c r="A42" s="1" t="s">
        <v>90</v>
      </c>
      <c r="B42" s="1" t="str">
        <f t="shared" si="1"/>
        <v>12/18/26</v>
      </c>
      <c r="C42" s="1">
        <v>255</v>
      </c>
      <c r="D42" s="1">
        <v>34</v>
      </c>
      <c r="E42" s="1">
        <v>34.549999239999998</v>
      </c>
      <c r="F42" s="1">
        <v>34</v>
      </c>
      <c r="G42" s="1">
        <v>28.564622880000002</v>
      </c>
      <c r="H42" s="1">
        <v>34</v>
      </c>
    </row>
    <row r="43" spans="1:8" x14ac:dyDescent="0.2">
      <c r="A43" s="1" t="s">
        <v>92</v>
      </c>
      <c r="B43" s="1" t="str">
        <f t="shared" si="1"/>
        <v>12/18/26</v>
      </c>
      <c r="C43" s="1">
        <v>260</v>
      </c>
      <c r="D43" s="1">
        <v>31.049999239999998</v>
      </c>
      <c r="E43" s="1">
        <v>31.5</v>
      </c>
      <c r="F43" s="1">
        <v>30.700000760000002</v>
      </c>
      <c r="G43" s="1">
        <v>28.216861720000001</v>
      </c>
      <c r="H43" s="1">
        <v>162</v>
      </c>
    </row>
    <row r="44" spans="1:8" x14ac:dyDescent="0.2">
      <c r="A44" s="1" t="s">
        <v>94</v>
      </c>
      <c r="B44" s="1" t="str">
        <f t="shared" si="1"/>
        <v>12/18/26</v>
      </c>
      <c r="C44" s="1">
        <v>265</v>
      </c>
      <c r="D44" s="1">
        <v>28.100000380000001</v>
      </c>
      <c r="E44" s="1">
        <v>28.600000380000001</v>
      </c>
      <c r="F44" s="1">
        <v>28.399999619999999</v>
      </c>
      <c r="G44" s="1">
        <v>27.73325539</v>
      </c>
      <c r="H44" s="1">
        <v>42</v>
      </c>
    </row>
    <row r="45" spans="1:8" x14ac:dyDescent="0.2">
      <c r="A45" s="1" t="s">
        <v>96</v>
      </c>
      <c r="B45" s="1" t="str">
        <f t="shared" si="1"/>
        <v>12/18/26</v>
      </c>
      <c r="C45" s="1">
        <v>270</v>
      </c>
      <c r="D45" s="1">
        <v>25.549999239999998</v>
      </c>
      <c r="E45" s="1">
        <v>25.850000380000001</v>
      </c>
      <c r="F45" s="1">
        <v>25.739999770000001</v>
      </c>
      <c r="G45" s="1">
        <v>27.4751358</v>
      </c>
      <c r="H45" s="1">
        <v>58</v>
      </c>
    </row>
    <row r="46" spans="1:8" x14ac:dyDescent="0.2">
      <c r="A46" s="1" t="s">
        <v>98</v>
      </c>
      <c r="B46" s="1" t="str">
        <f t="shared" si="1"/>
        <v>12/18/26</v>
      </c>
      <c r="C46" s="1">
        <v>275</v>
      </c>
      <c r="D46" s="1">
        <v>23</v>
      </c>
      <c r="E46" s="1">
        <v>23.299999239999998</v>
      </c>
      <c r="F46" s="1">
        <v>23.049999239999998</v>
      </c>
      <c r="G46" s="1">
        <v>27.113168720000001</v>
      </c>
      <c r="H46" s="1">
        <v>49</v>
      </c>
    </row>
    <row r="47" spans="1:8" x14ac:dyDescent="0.2">
      <c r="A47" s="1" t="s">
        <v>100</v>
      </c>
      <c r="B47" s="1" t="str">
        <f t="shared" si="1"/>
        <v xml:space="preserve">1/15/27 </v>
      </c>
      <c r="C47" s="1">
        <v>250</v>
      </c>
      <c r="D47" s="1">
        <v>38.849998470000003</v>
      </c>
      <c r="E47" s="1">
        <v>39.400001529999997</v>
      </c>
      <c r="F47" s="1">
        <v>39</v>
      </c>
      <c r="G47" s="1">
        <v>28.9982872</v>
      </c>
      <c r="H47" s="1">
        <v>898</v>
      </c>
    </row>
    <row r="48" spans="1:8" x14ac:dyDescent="0.2">
      <c r="A48" s="1" t="s">
        <v>102</v>
      </c>
      <c r="B48" s="1" t="str">
        <f t="shared" si="1"/>
        <v xml:space="preserve">1/15/27 </v>
      </c>
      <c r="C48" s="1">
        <v>260</v>
      </c>
      <c r="D48" s="1">
        <v>32.75</v>
      </c>
      <c r="E48" s="1">
        <v>33.299999239999998</v>
      </c>
      <c r="F48" s="1">
        <v>32.950000760000002</v>
      </c>
      <c r="G48" s="1">
        <v>28.256822589999999</v>
      </c>
      <c r="H48" s="1">
        <v>261</v>
      </c>
    </row>
    <row r="49" spans="1:8" x14ac:dyDescent="0.2">
      <c r="A49" s="1" t="s">
        <v>104</v>
      </c>
      <c r="B49" s="1" t="str">
        <f t="shared" si="1"/>
        <v xml:space="preserve">1/15/27 </v>
      </c>
      <c r="C49" s="1">
        <v>270</v>
      </c>
      <c r="D49" s="1">
        <v>27.25</v>
      </c>
      <c r="E49" s="1">
        <v>27.5</v>
      </c>
      <c r="F49" s="1">
        <v>27.549999239999998</v>
      </c>
      <c r="G49" s="1">
        <v>27.476989750000001</v>
      </c>
      <c r="H49" s="1">
        <v>460</v>
      </c>
    </row>
    <row r="50" spans="1:8" x14ac:dyDescent="0.2">
      <c r="A50" s="1" t="s">
        <v>106</v>
      </c>
      <c r="B50" s="1" t="str">
        <f t="shared" si="1"/>
        <v xml:space="preserve">1/15/27 </v>
      </c>
      <c r="C50" s="1">
        <v>280</v>
      </c>
      <c r="D50" s="1">
        <v>22.350000380000001</v>
      </c>
      <c r="E50" s="1">
        <v>22.600000380000001</v>
      </c>
      <c r="F50" s="1">
        <v>22.549999239999998</v>
      </c>
      <c r="G50" s="1">
        <v>26.818254469999999</v>
      </c>
      <c r="H50" s="1">
        <v>1038</v>
      </c>
    </row>
    <row r="51" spans="1:8" x14ac:dyDescent="0.2">
      <c r="A51" s="1" t="s">
        <v>108</v>
      </c>
      <c r="B51" s="1" t="str">
        <f t="shared" si="1"/>
        <v xml:space="preserve">1/15/27 </v>
      </c>
      <c r="C51" s="1">
        <v>290</v>
      </c>
      <c r="D51" s="1">
        <v>18.049999239999998</v>
      </c>
      <c r="E51" s="1">
        <v>18.350000380000001</v>
      </c>
      <c r="F51" s="1">
        <v>18.149999619999999</v>
      </c>
      <c r="G51" s="1">
        <v>26.31216431</v>
      </c>
      <c r="H51" s="1">
        <v>142</v>
      </c>
    </row>
    <row r="52" spans="1:8" x14ac:dyDescent="0.2">
      <c r="A52" s="1" t="s">
        <v>110</v>
      </c>
      <c r="B52" s="1" t="str">
        <f t="shared" si="1"/>
        <v xml:space="preserve">3/19/27 </v>
      </c>
      <c r="C52" s="1">
        <v>250</v>
      </c>
      <c r="D52" s="1">
        <v>42.150001529999997</v>
      </c>
      <c r="E52" s="1">
        <v>43.799999239999998</v>
      </c>
      <c r="F52" s="1">
        <v>42.599998470000003</v>
      </c>
      <c r="G52" s="1">
        <v>29.36105156</v>
      </c>
      <c r="H52" s="1">
        <v>146</v>
      </c>
    </row>
    <row r="53" spans="1:8" x14ac:dyDescent="0.2">
      <c r="A53" s="1" t="s">
        <v>112</v>
      </c>
      <c r="B53" s="1" t="str">
        <f t="shared" si="1"/>
        <v xml:space="preserve">3/19/27 </v>
      </c>
      <c r="C53" s="1">
        <v>260</v>
      </c>
      <c r="D53" s="1">
        <v>34.849998470000003</v>
      </c>
      <c r="E53" s="1">
        <v>37.799999239999998</v>
      </c>
      <c r="F53" s="1">
        <v>36.299999239999998</v>
      </c>
      <c r="G53" s="1">
        <v>27.998266220000001</v>
      </c>
      <c r="H53" s="1">
        <v>182</v>
      </c>
    </row>
    <row r="54" spans="1:8" x14ac:dyDescent="0.2">
      <c r="A54" s="1" t="s">
        <v>114</v>
      </c>
      <c r="B54" s="1" t="str">
        <f t="shared" si="1"/>
        <v xml:space="preserve">3/19/27 </v>
      </c>
      <c r="C54" s="1">
        <v>270</v>
      </c>
      <c r="D54" s="1">
        <v>30.200000760000002</v>
      </c>
      <c r="E54" s="1">
        <v>31.5</v>
      </c>
      <c r="F54" s="1">
        <v>30.899999619999999</v>
      </c>
      <c r="G54" s="1">
        <v>27.42605782</v>
      </c>
      <c r="H54" s="1">
        <v>182</v>
      </c>
    </row>
    <row r="55" spans="1:8" x14ac:dyDescent="0.2">
      <c r="A55" s="1" t="s">
        <v>116</v>
      </c>
      <c r="B55" s="1" t="str">
        <f t="shared" si="1"/>
        <v xml:space="preserve">3/19/27 </v>
      </c>
      <c r="C55" s="1">
        <v>280</v>
      </c>
      <c r="D55" s="1">
        <v>25.799999239999998</v>
      </c>
      <c r="E55" s="1">
        <v>26.899999619999999</v>
      </c>
      <c r="F55" s="1">
        <v>25.850000380000001</v>
      </c>
      <c r="G55" s="1">
        <v>27.27216911</v>
      </c>
      <c r="H55" s="1">
        <v>143</v>
      </c>
    </row>
    <row r="56" spans="1:8" x14ac:dyDescent="0.2">
      <c r="A56" s="1" t="s">
        <v>118</v>
      </c>
      <c r="B56" s="1" t="str">
        <f t="shared" si="1"/>
        <v xml:space="preserve">3/19/27 </v>
      </c>
      <c r="C56" s="1">
        <v>290</v>
      </c>
      <c r="D56" s="1">
        <v>21.600000380000001</v>
      </c>
      <c r="E56" s="1">
        <v>22.399999619999999</v>
      </c>
      <c r="F56" s="1">
        <v>21.75</v>
      </c>
      <c r="G56" s="1">
        <v>26.81702232</v>
      </c>
      <c r="H56" s="1">
        <v>60</v>
      </c>
    </row>
    <row r="57" spans="1:8" x14ac:dyDescent="0.2">
      <c r="A57" s="1" t="s">
        <v>120</v>
      </c>
      <c r="B57" s="1" t="str">
        <f t="shared" si="1"/>
        <v xml:space="preserve">6/17/27 </v>
      </c>
      <c r="C57" s="1">
        <v>250</v>
      </c>
      <c r="D57" s="1">
        <v>47.349998470000003</v>
      </c>
      <c r="E57" s="1">
        <v>47.849998470000003</v>
      </c>
      <c r="F57" s="1">
        <v>47.549999239999998</v>
      </c>
      <c r="G57" s="1">
        <v>29.371545789999999</v>
      </c>
      <c r="H57" s="1">
        <v>90</v>
      </c>
    </row>
    <row r="58" spans="1:8" x14ac:dyDescent="0.2">
      <c r="A58" s="1" t="s">
        <v>122</v>
      </c>
      <c r="B58" s="1" t="str">
        <f t="shared" si="1"/>
        <v xml:space="preserve">6/17/27 </v>
      </c>
      <c r="C58" s="1">
        <v>260</v>
      </c>
      <c r="D58" s="1">
        <v>41.450000760000002</v>
      </c>
      <c r="E58" s="1">
        <v>41.950000760000002</v>
      </c>
      <c r="F58" s="1">
        <v>41.200000760000002</v>
      </c>
      <c r="G58" s="1">
        <v>28.763137820000001</v>
      </c>
      <c r="H58" s="1">
        <v>272</v>
      </c>
    </row>
    <row r="59" spans="1:8" x14ac:dyDescent="0.2">
      <c r="A59" s="1" t="s">
        <v>124</v>
      </c>
      <c r="B59" s="1" t="str">
        <f t="shared" si="1"/>
        <v xml:space="preserve">6/17/27 </v>
      </c>
      <c r="C59" s="1">
        <v>270</v>
      </c>
      <c r="D59" s="1">
        <v>36.150001529999997</v>
      </c>
      <c r="E59" s="1">
        <v>36.450000760000002</v>
      </c>
      <c r="F59" s="1">
        <v>36.400001529999997</v>
      </c>
      <c r="G59" s="1">
        <v>28.19717026</v>
      </c>
      <c r="H59" s="1">
        <v>68</v>
      </c>
    </row>
    <row r="60" spans="1:8" x14ac:dyDescent="0.2">
      <c r="A60" s="1" t="s">
        <v>126</v>
      </c>
      <c r="B60" s="1" t="str">
        <f t="shared" si="1"/>
        <v xml:space="preserve">6/17/27 </v>
      </c>
      <c r="C60" s="1">
        <v>280</v>
      </c>
      <c r="D60" s="1">
        <v>31.200000760000002</v>
      </c>
      <c r="E60" s="1">
        <v>31.5</v>
      </c>
      <c r="F60" s="1">
        <v>30.950000760000002</v>
      </c>
      <c r="G60" s="1">
        <v>27.660072329999998</v>
      </c>
      <c r="H60" s="1">
        <v>41</v>
      </c>
    </row>
    <row r="61" spans="1:8" x14ac:dyDescent="0.2">
      <c r="A61" s="1" t="s">
        <v>128</v>
      </c>
      <c r="B61" s="1" t="str">
        <f t="shared" si="1"/>
        <v xml:space="preserve">6/17/27 </v>
      </c>
      <c r="C61" s="1">
        <v>290</v>
      </c>
      <c r="D61" s="1">
        <v>26.75</v>
      </c>
      <c r="E61" s="1">
        <v>27.100000380000001</v>
      </c>
      <c r="F61" s="1">
        <v>26.780000690000001</v>
      </c>
      <c r="G61" s="1">
        <v>27.21981049</v>
      </c>
      <c r="H61" s="1">
        <v>37</v>
      </c>
    </row>
    <row r="62" spans="1:8" x14ac:dyDescent="0.2">
      <c r="A62" s="1" t="s">
        <v>130</v>
      </c>
      <c r="B62" s="1" t="str">
        <f t="shared" si="1"/>
        <v>12/17/27</v>
      </c>
      <c r="C62" s="1">
        <v>255</v>
      </c>
      <c r="D62" s="1">
        <v>52.849998470000003</v>
      </c>
      <c r="E62" s="1">
        <v>54.200000760000002</v>
      </c>
      <c r="F62" s="1">
        <v>53.270000459999999</v>
      </c>
      <c r="G62" s="1">
        <v>29.614046099999999</v>
      </c>
      <c r="H62" s="1">
        <v>3</v>
      </c>
    </row>
    <row r="63" spans="1:8" x14ac:dyDescent="0.2">
      <c r="A63" s="1" t="s">
        <v>132</v>
      </c>
      <c r="B63" s="1" t="str">
        <f t="shared" si="1"/>
        <v>12/17/27</v>
      </c>
      <c r="C63" s="1">
        <v>260</v>
      </c>
      <c r="D63" s="1">
        <v>50.299999239999998</v>
      </c>
      <c r="E63" s="1">
        <v>51.549999239999998</v>
      </c>
      <c r="F63" s="1">
        <v>50.200000760000002</v>
      </c>
      <c r="G63" s="1">
        <v>29.488569259999998</v>
      </c>
      <c r="H63" s="1">
        <v>52</v>
      </c>
    </row>
    <row r="64" spans="1:8" x14ac:dyDescent="0.2">
      <c r="A64" s="1" t="s">
        <v>134</v>
      </c>
      <c r="B64" s="1" t="str">
        <f t="shared" si="1"/>
        <v>12/17/27</v>
      </c>
      <c r="C64" s="1">
        <v>265</v>
      </c>
      <c r="D64" s="1">
        <v>46.5</v>
      </c>
      <c r="E64" s="1">
        <v>49.25</v>
      </c>
      <c r="F64" s="1">
        <v>47.799999239999998</v>
      </c>
      <c r="G64" s="1">
        <v>28.954673769999999</v>
      </c>
      <c r="H64" s="1">
        <v>4</v>
      </c>
    </row>
    <row r="65" spans="1:8" x14ac:dyDescent="0.2">
      <c r="A65" s="1" t="s">
        <v>136</v>
      </c>
      <c r="B65" s="1" t="str">
        <f t="shared" si="1"/>
        <v>12/17/27</v>
      </c>
      <c r="C65" s="1">
        <v>270</v>
      </c>
      <c r="D65" s="1">
        <v>43</v>
      </c>
      <c r="E65" s="1">
        <v>46.700000760000002</v>
      </c>
      <c r="F65" s="1">
        <v>44.349998470000003</v>
      </c>
      <c r="G65" s="1">
        <v>28.451469419999999</v>
      </c>
      <c r="H65" s="1">
        <v>4</v>
      </c>
    </row>
    <row r="66" spans="1:8" x14ac:dyDescent="0.2">
      <c r="A66" s="1" t="s">
        <v>138</v>
      </c>
      <c r="B66" s="1" t="str">
        <f t="shared" si="1"/>
        <v>12/17/27</v>
      </c>
      <c r="C66" s="1">
        <v>275</v>
      </c>
      <c r="D66" s="1">
        <v>42.099998470000003</v>
      </c>
      <c r="E66" s="1">
        <v>43.900001529999997</v>
      </c>
      <c r="F66" s="1">
        <v>42.439998629999998</v>
      </c>
      <c r="G66" s="1">
        <v>28.626289369999999</v>
      </c>
      <c r="H66" s="1">
        <v>4</v>
      </c>
    </row>
    <row r="67" spans="1:8" x14ac:dyDescent="0.2">
      <c r="A67" s="1" t="s">
        <v>140</v>
      </c>
      <c r="B67" s="1" t="str">
        <f t="shared" si="1"/>
        <v xml:space="preserve">1/21/28 </v>
      </c>
      <c r="C67" s="1">
        <v>250</v>
      </c>
      <c r="D67" s="1">
        <v>57.25</v>
      </c>
      <c r="E67" s="1">
        <v>58.900001529999997</v>
      </c>
      <c r="F67" s="1">
        <v>57.799999239999998</v>
      </c>
      <c r="G67" s="1">
        <v>30.103675840000001</v>
      </c>
      <c r="H67" s="1">
        <v>16</v>
      </c>
    </row>
    <row r="68" spans="1:8" x14ac:dyDescent="0.2">
      <c r="A68" s="1" t="s">
        <v>142</v>
      </c>
      <c r="B68" s="1" t="str">
        <f t="shared" si="1"/>
        <v xml:space="preserve">1/21/28 </v>
      </c>
      <c r="C68" s="1">
        <v>260</v>
      </c>
      <c r="D68" s="1">
        <v>51.599998470000003</v>
      </c>
      <c r="E68" s="1">
        <v>53.400001529999997</v>
      </c>
      <c r="F68" s="1">
        <v>52</v>
      </c>
      <c r="G68" s="1">
        <v>29.56330681</v>
      </c>
      <c r="H68" s="1">
        <v>145</v>
      </c>
    </row>
    <row r="69" spans="1:8" x14ac:dyDescent="0.2">
      <c r="A69" s="1" t="s">
        <v>144</v>
      </c>
      <c r="B69" s="1" t="str">
        <f t="shared" si="1"/>
        <v xml:space="preserve">1/21/28 </v>
      </c>
      <c r="C69" s="1">
        <v>270</v>
      </c>
      <c r="D69" s="1">
        <v>46.25</v>
      </c>
      <c r="E69" s="1">
        <v>48.400001529999997</v>
      </c>
      <c r="F69" s="1">
        <v>46.83000183</v>
      </c>
      <c r="G69" s="1">
        <v>29.131420139999999</v>
      </c>
      <c r="H69" s="1">
        <v>29</v>
      </c>
    </row>
    <row r="70" spans="1:8" x14ac:dyDescent="0.2">
      <c r="A70" s="1" t="s">
        <v>146</v>
      </c>
      <c r="B70" s="1" t="str">
        <f t="shared" si="1"/>
        <v xml:space="preserve">1/21/28 </v>
      </c>
      <c r="C70" s="1">
        <v>280</v>
      </c>
      <c r="D70" s="1">
        <v>41.5</v>
      </c>
      <c r="E70" s="1">
        <v>42.650001529999997</v>
      </c>
      <c r="F70" s="1">
        <v>41.630001069999999</v>
      </c>
      <c r="G70" s="1">
        <v>28.448074340000002</v>
      </c>
      <c r="H70" s="1">
        <v>24</v>
      </c>
    </row>
    <row r="71" spans="1:8" x14ac:dyDescent="0.2">
      <c r="A71" s="1" t="s">
        <v>148</v>
      </c>
      <c r="B71" s="1" t="str">
        <f t="shared" si="1"/>
        <v xml:space="preserve">1/21/28 </v>
      </c>
      <c r="C71" s="1">
        <v>290</v>
      </c>
      <c r="D71" s="1">
        <v>37.299999239999998</v>
      </c>
      <c r="E71" s="1">
        <v>38.700000760000002</v>
      </c>
      <c r="F71" s="1">
        <v>37.52999878</v>
      </c>
      <c r="G71" s="1">
        <v>28.32014465</v>
      </c>
      <c r="H71" s="1">
        <v>39</v>
      </c>
    </row>
    <row r="72" spans="1:8" x14ac:dyDescent="0.2">
      <c r="A72" s="1" t="s">
        <v>150</v>
      </c>
      <c r="B72" s="1" t="str">
        <f t="shared" si="1"/>
        <v xml:space="preserve">3/17/28 </v>
      </c>
      <c r="C72" s="1">
        <v>250</v>
      </c>
      <c r="D72" s="1">
        <v>57.599998470000003</v>
      </c>
      <c r="E72" s="1">
        <v>61.900001529999997</v>
      </c>
      <c r="F72" s="1">
        <v>59.099998470000003</v>
      </c>
      <c r="G72" s="1">
        <v>29.68787193</v>
      </c>
      <c r="H72" s="1">
        <v>1</v>
      </c>
    </row>
    <row r="73" spans="1:8" x14ac:dyDescent="0.2">
      <c r="A73" s="1" t="s">
        <v>152</v>
      </c>
      <c r="B73" s="1" t="str">
        <f t="shared" si="1"/>
        <v xml:space="preserve">3/17/28 </v>
      </c>
      <c r="C73" s="1">
        <v>260</v>
      </c>
      <c r="D73" s="1">
        <v>53.950000760000002</v>
      </c>
      <c r="E73" s="1">
        <v>56</v>
      </c>
      <c r="F73" s="1">
        <v>55</v>
      </c>
      <c r="G73" s="1">
        <v>29.786199570000001</v>
      </c>
      <c r="H73" s="1">
        <v>25</v>
      </c>
    </row>
    <row r="74" spans="1:8" x14ac:dyDescent="0.2">
      <c r="A74" s="1" t="s">
        <v>154</v>
      </c>
      <c r="B74" s="1" t="str">
        <f t="shared" si="1"/>
        <v xml:space="preserve">3/17/28 </v>
      </c>
      <c r="C74" s="1">
        <v>270</v>
      </c>
      <c r="D74" s="1">
        <v>48.849998470000003</v>
      </c>
      <c r="E74" s="1">
        <v>50</v>
      </c>
      <c r="F74" s="1">
        <v>48.509998320000001</v>
      </c>
      <c r="G74" s="1">
        <v>29.040048599999999</v>
      </c>
      <c r="H74" s="1">
        <v>20</v>
      </c>
    </row>
    <row r="75" spans="1:8" x14ac:dyDescent="0.2">
      <c r="A75" s="1" t="s">
        <v>156</v>
      </c>
      <c r="B75" s="1" t="str">
        <f t="shared" si="1"/>
        <v xml:space="preserve">3/17/28 </v>
      </c>
      <c r="C75" s="1">
        <v>280</v>
      </c>
      <c r="D75" s="1">
        <v>44.049999239999998</v>
      </c>
      <c r="E75" s="1">
        <v>45.650001529999997</v>
      </c>
      <c r="F75" s="1">
        <v>44</v>
      </c>
      <c r="G75" s="1">
        <v>28.810562130000001</v>
      </c>
      <c r="H75" s="1">
        <v>14</v>
      </c>
    </row>
    <row r="76" spans="1:8" x14ac:dyDescent="0.2">
      <c r="A76" s="1" t="s">
        <v>158</v>
      </c>
      <c r="B76" s="1" t="str">
        <f t="shared" si="1"/>
        <v xml:space="preserve">3/17/28 </v>
      </c>
      <c r="C76" s="1">
        <v>290</v>
      </c>
      <c r="D76" s="1">
        <v>38.700000760000002</v>
      </c>
      <c r="E76" s="1">
        <v>41.700000760000002</v>
      </c>
      <c r="F76" s="1">
        <v>35.400001529999997</v>
      </c>
      <c r="G76" s="1">
        <v>28.403541560000001</v>
      </c>
      <c r="H7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Worksheet</vt:lpstr>
      <vt:lpstr>call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Éberle Richárd</cp:lastModifiedBy>
  <dcterms:created xsi:type="dcterms:W3CDTF">2013-04-03T15:49:21Z</dcterms:created>
  <dcterms:modified xsi:type="dcterms:W3CDTF">2026-04-16T13:21:54Z</dcterms:modified>
</cp:coreProperties>
</file>